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Zhivar\Desktop\"/>
    </mc:Choice>
  </mc:AlternateContent>
  <xr:revisionPtr revIDLastSave="0" documentId="13_ncr:1_{562FA728-D25D-4D40-B078-BC4BCB9DA205}" xr6:coauthVersionLast="47" xr6:coauthVersionMax="47" xr10:uidLastSave="{00000000-0000-0000-0000-000000000000}"/>
  <bookViews>
    <workbookView xWindow="3330" yWindow="3330" windowWidth="14445" windowHeight="11295" xr2:uid="{00000000-000D-0000-FFFF-FFFF00000000}"/>
  </bookViews>
  <sheets>
    <sheet name="Sheet1" sheetId="5" r:id="rId1"/>
    <sheet name="Sheet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1" i="6"/>
</calcChain>
</file>

<file path=xl/sharedStrings.xml><?xml version="1.0" encoding="utf-8"?>
<sst xmlns="http://schemas.openxmlformats.org/spreadsheetml/2006/main" count="815" uniqueCount="152">
  <si>
    <t>ID</t>
  </si>
  <si>
    <t>Name</t>
  </si>
  <si>
    <t>Curve Number</t>
  </si>
  <si>
    <t>Abstraction Ratio</t>
  </si>
  <si>
    <t>Minimum Infiltration Rate (in/hr)</t>
  </si>
  <si>
    <t>ESA Code</t>
  </si>
  <si>
    <t>ESA Land Cover</t>
  </si>
  <si>
    <t>HSG Code</t>
  </si>
  <si>
    <t>HSG</t>
  </si>
  <si>
    <t>Effective HSG</t>
  </si>
  <si>
    <t>HEC Equivalent Class</t>
  </si>
  <si>
    <t>Mapping Confidence</t>
  </si>
  <si>
    <t>Min Infiltration (mm/hr)</t>
  </si>
  <si>
    <t>Mapping Note</t>
  </si>
  <si>
    <t>Parameter Basis</t>
  </si>
  <si>
    <t>NoData</t>
  </si>
  <si>
    <t>D</t>
  </si>
  <si>
    <t>HEC-RAS workshop NoData default</t>
  </si>
  <si>
    <t>High</t>
  </si>
  <si>
    <t>Special default used in HEC-RAS training example</t>
  </si>
  <si>
    <t>HEC-RAS training example default for NoData</t>
  </si>
  <si>
    <t>NoData : A</t>
  </si>
  <si>
    <t>A</t>
  </si>
  <si>
    <t>NoData : B</t>
  </si>
  <si>
    <t>B</t>
  </si>
  <si>
    <t>NoData : C</t>
  </si>
  <si>
    <t>C</t>
  </si>
  <si>
    <t>NoData : D</t>
  </si>
  <si>
    <t>NoData : A/D</t>
  </si>
  <si>
    <t>A/D</t>
  </si>
  <si>
    <t>NoData : B/D</t>
  </si>
  <si>
    <t>B/D</t>
  </si>
  <si>
    <t>NoData : C/D</t>
  </si>
  <si>
    <t>C/D</t>
  </si>
  <si>
    <t>Tree Cover : NoData</t>
  </si>
  <si>
    <t>Tree Cover</t>
  </si>
  <si>
    <t>Mixed Forest</t>
  </si>
  <si>
    <t>Medium</t>
  </si>
  <si>
    <t>ESA tree cover does not distinguish deciduous/evergreen; Mixed Forest used as neutral proxy</t>
  </si>
  <si>
    <t>CN from official HEC lookup; r=0.20 baseline; minimum rate = lower HSG bound</t>
  </si>
  <si>
    <t>Tree Cover : A</t>
  </si>
  <si>
    <t>Tree Cover : B</t>
  </si>
  <si>
    <t>Tree Cover : C</t>
  </si>
  <si>
    <t>Tree Cover : D</t>
  </si>
  <si>
    <t>Tree Cover : A/D</t>
  </si>
  <si>
    <t>Tree Cover : B/D</t>
  </si>
  <si>
    <t>Tree Cover : C/D</t>
  </si>
  <si>
    <t>Shrubland : NoData</t>
  </si>
  <si>
    <t>Shrubland</t>
  </si>
  <si>
    <t>Shrub/Scrub</t>
  </si>
  <si>
    <t>Direct thematic match</t>
  </si>
  <si>
    <t>Shrubland : A</t>
  </si>
  <si>
    <t>Shrubland : B</t>
  </si>
  <si>
    <t>Shrubland : C</t>
  </si>
  <si>
    <t>Shrubland : D</t>
  </si>
  <si>
    <t>Shrubland : A/D</t>
  </si>
  <si>
    <t>Shrubland : B/D</t>
  </si>
  <si>
    <t>Shrubland : C/D</t>
  </si>
  <si>
    <t>Grassland : NoData</t>
  </si>
  <si>
    <t>Grassland</t>
  </si>
  <si>
    <t>Grassland/Herbaceous</t>
  </si>
  <si>
    <t>Grassland : A</t>
  </si>
  <si>
    <t>Grassland : B</t>
  </si>
  <si>
    <t>Grassland : C</t>
  </si>
  <si>
    <t>Grassland : D</t>
  </si>
  <si>
    <t>Grassland : A/D</t>
  </si>
  <si>
    <t>Grassland : B/D</t>
  </si>
  <si>
    <t>Grassland : C/D</t>
  </si>
  <si>
    <t>Cropland : NoData</t>
  </si>
  <si>
    <t>Cropland</t>
  </si>
  <si>
    <t>Cultivated Crops</t>
  </si>
  <si>
    <t>Cropland : A</t>
  </si>
  <si>
    <t>Cropland : B</t>
  </si>
  <si>
    <t>Cropland : C</t>
  </si>
  <si>
    <t>Cropland : D</t>
  </si>
  <si>
    <t>Cropland : A/D</t>
  </si>
  <si>
    <t>Cropland : B/D</t>
  </si>
  <si>
    <t>Cropland : C/D</t>
  </si>
  <si>
    <t>Built-up : NoData</t>
  </si>
  <si>
    <t>Built-up</t>
  </si>
  <si>
    <t>Developed High Intensity</t>
  </si>
  <si>
    <t>Composite urban proxy; consider a separate % Impervious layer in HEC-RAS</t>
  </si>
  <si>
    <t>Built-up : A</t>
  </si>
  <si>
    <t>Built-up : B</t>
  </si>
  <si>
    <t>Built-up : C</t>
  </si>
  <si>
    <t>Built-up : D</t>
  </si>
  <si>
    <t>Built-up : A/D</t>
  </si>
  <si>
    <t>Built-up : B/D</t>
  </si>
  <si>
    <t>Built-up : C/D</t>
  </si>
  <si>
    <t>Bare / Sparse Vegetation</t>
  </si>
  <si>
    <t>Barren Land (Rock/Sand/Clay)</t>
  </si>
  <si>
    <t>Closest HEC/NLCD barren-land class</t>
  </si>
  <si>
    <t>Snow and Ice : NoData</t>
  </si>
  <si>
    <t>Snow and Ice</t>
  </si>
  <si>
    <t>Open Water</t>
  </si>
  <si>
    <t>Low</t>
  </si>
  <si>
    <t>Proxy only; treated as near-impervious for event runoff</t>
  </si>
  <si>
    <t>Snow and Ice : A</t>
  </si>
  <si>
    <t>Snow and Ice : B</t>
  </si>
  <si>
    <t>Snow and Ice : C</t>
  </si>
  <si>
    <t>Snow and Ice : D</t>
  </si>
  <si>
    <t>Snow and Ice : A/D</t>
  </si>
  <si>
    <t>Snow and Ice : B/D</t>
  </si>
  <si>
    <t>Snow and Ice : C/D</t>
  </si>
  <si>
    <t>Permanent Water Bodies : NoData</t>
  </si>
  <si>
    <t>Permanent Water Bodies</t>
  </si>
  <si>
    <t>Permanent Water Bodies : A</t>
  </si>
  <si>
    <t>Permanent Water Bodies : B</t>
  </si>
  <si>
    <t>Permanent Water Bodies : C</t>
  </si>
  <si>
    <t>Permanent Water Bodies : D</t>
  </si>
  <si>
    <t>Permanent Water Bodies : A/D</t>
  </si>
  <si>
    <t>Permanent Water Bodies : B/D</t>
  </si>
  <si>
    <t>Permanent Water Bodies : C/D</t>
  </si>
  <si>
    <t>Herbaceous Wetland : NoData</t>
  </si>
  <si>
    <t>Herbaceous Wetland</t>
  </si>
  <si>
    <t>Emergent Herbaceous Wetlands</t>
  </si>
  <si>
    <t>Herbaceous Wetland : A</t>
  </si>
  <si>
    <t>Herbaceous Wetland : B</t>
  </si>
  <si>
    <t>Herbaceous Wetland : C</t>
  </si>
  <si>
    <t>Herbaceous Wetland : D</t>
  </si>
  <si>
    <t>Herbaceous Wetland : A/D</t>
  </si>
  <si>
    <t>Herbaceous Wetland : B/D</t>
  </si>
  <si>
    <t>Herbaceous Wetland : C/D</t>
  </si>
  <si>
    <t>Mangroves : NoData</t>
  </si>
  <si>
    <t>Mangroves</t>
  </si>
  <si>
    <t>Woody Wetlands</t>
  </si>
  <si>
    <t>Closest wetland vegetation proxy</t>
  </si>
  <si>
    <t>Mangroves : A</t>
  </si>
  <si>
    <t>Mangroves : B</t>
  </si>
  <si>
    <t>Mangroves : C</t>
  </si>
  <si>
    <t>Mangroves : D</t>
  </si>
  <si>
    <t>Mangroves : A/D</t>
  </si>
  <si>
    <t>Mangroves : B/D</t>
  </si>
  <si>
    <t>Mangroves : C/D</t>
  </si>
  <si>
    <t>Moss and Lichen : NoData</t>
  </si>
  <si>
    <t>Moss and Lichen</t>
  </si>
  <si>
    <t>Proxy only; HEC CN table has no direct moss/lichen class</t>
  </si>
  <si>
    <t>Moss and Lichen : A</t>
  </si>
  <si>
    <t>Moss and Lichen : B</t>
  </si>
  <si>
    <t>Moss and Lichen : C</t>
  </si>
  <si>
    <t>Moss and Lichen : D</t>
  </si>
  <si>
    <t>Moss and Lichen : A/D</t>
  </si>
  <si>
    <t>Moss and Lichen : B/D</t>
  </si>
  <si>
    <t>Moss and Lichen : C/D</t>
  </si>
  <si>
    <t>Bare Vegetation : NoData</t>
  </si>
  <si>
    <t>Bare Vegetation : D</t>
  </si>
  <si>
    <t>Bare Vegetation : C</t>
  </si>
  <si>
    <t>Bare Vegetation : B</t>
  </si>
  <si>
    <t>Bare Vegetation : A</t>
  </si>
  <si>
    <t>Bare Vegetation : A/D</t>
  </si>
  <si>
    <t>Bare Vegetation : B/D</t>
  </si>
  <si>
    <t>Bare Vegetation : C/D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</si>
</sst>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0DAD-46FF-449E-BD0B-8AFE085388E4}">
  <dimension ref="A1:O97"/>
  <sheetViews>
    <sheetView tabSelected="1" workbookViewId="0">
      <selection activeCell="B58" sqref="B58"/>
    </sheetView>
  </sheetViews>
  <sheetFormatPr defaultRowHeight="14.25"/>
  <cols>
    <col min="1" max="1" width="2.875" bestFit="1" customWidth="1"/>
    <col min="2" max="2" width="29.75" bestFit="1" customWidth="1"/>
    <col min="3" max="3" width="12.75" bestFit="1" customWidth="1"/>
    <col min="4" max="4" width="14.875" bestFit="1" customWidth="1"/>
    <col min="5" max="5" width="26.5" bestFit="1" customWidth="1"/>
    <col min="6" max="6" width="9.375" bestFit="1" customWidth="1"/>
    <col min="7" max="7" width="21.875" bestFit="1" customWidth="1"/>
    <col min="8" max="8" width="9.625" bestFit="1" customWidth="1"/>
    <col min="9" max="9" width="7" bestFit="1" customWidth="1"/>
    <col min="10" max="10" width="12.25" bestFit="1" customWidth="1"/>
    <col min="11" max="11" width="30.625" bestFit="1" customWidth="1"/>
    <col min="12" max="12" width="17.625" bestFit="1" customWidth="1"/>
    <col min="13" max="13" width="19.125" bestFit="1" customWidth="1"/>
    <col min="14" max="14" width="78.5" bestFit="1" customWidth="1"/>
    <col min="15" max="15" width="67.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 t="s">
        <v>15</v>
      </c>
      <c r="C2">
        <v>75</v>
      </c>
      <c r="D2">
        <v>0.1</v>
      </c>
      <c r="E2">
        <v>0.12</v>
      </c>
      <c r="F2">
        <v>0</v>
      </c>
      <c r="G2" t="s">
        <v>15</v>
      </c>
      <c r="H2">
        <v>0</v>
      </c>
      <c r="I2" t="s">
        <v>15</v>
      </c>
      <c r="J2" t="s">
        <v>16</v>
      </c>
      <c r="K2" t="s">
        <v>17</v>
      </c>
      <c r="L2" t="s">
        <v>18</v>
      </c>
      <c r="M2">
        <v>3.048</v>
      </c>
      <c r="N2" t="s">
        <v>19</v>
      </c>
      <c r="O2" t="s">
        <v>20</v>
      </c>
    </row>
    <row r="3" spans="1:15">
      <c r="A3">
        <v>1</v>
      </c>
      <c r="B3" t="s">
        <v>21</v>
      </c>
      <c r="C3">
        <v>75</v>
      </c>
      <c r="D3">
        <v>0.1</v>
      </c>
      <c r="E3">
        <v>0.12</v>
      </c>
      <c r="F3">
        <v>0</v>
      </c>
      <c r="G3" t="s">
        <v>15</v>
      </c>
      <c r="H3">
        <v>1</v>
      </c>
      <c r="I3" t="s">
        <v>22</v>
      </c>
      <c r="J3" t="s">
        <v>22</v>
      </c>
      <c r="K3" t="s">
        <v>17</v>
      </c>
      <c r="L3" t="s">
        <v>18</v>
      </c>
      <c r="M3">
        <v>3.048</v>
      </c>
      <c r="N3" t="s">
        <v>19</v>
      </c>
      <c r="O3" t="s">
        <v>20</v>
      </c>
    </row>
    <row r="4" spans="1:15">
      <c r="A4">
        <v>2</v>
      </c>
      <c r="B4" t="s">
        <v>23</v>
      </c>
      <c r="C4">
        <v>75</v>
      </c>
      <c r="D4">
        <v>0.1</v>
      </c>
      <c r="E4">
        <v>0.12</v>
      </c>
      <c r="F4">
        <v>0</v>
      </c>
      <c r="G4" t="s">
        <v>15</v>
      </c>
      <c r="H4">
        <v>2</v>
      </c>
      <c r="I4" t="s">
        <v>24</v>
      </c>
      <c r="J4" t="s">
        <v>24</v>
      </c>
      <c r="K4" t="s">
        <v>17</v>
      </c>
      <c r="L4" t="s">
        <v>18</v>
      </c>
      <c r="M4">
        <v>3.048</v>
      </c>
      <c r="N4" t="s">
        <v>19</v>
      </c>
      <c r="O4" t="s">
        <v>20</v>
      </c>
    </row>
    <row r="5" spans="1:15">
      <c r="A5">
        <v>3</v>
      </c>
      <c r="B5" t="s">
        <v>25</v>
      </c>
      <c r="C5">
        <v>75</v>
      </c>
      <c r="D5">
        <v>0.1</v>
      </c>
      <c r="E5">
        <v>0.12</v>
      </c>
      <c r="F5">
        <v>0</v>
      </c>
      <c r="G5" t="s">
        <v>15</v>
      </c>
      <c r="H5">
        <v>3</v>
      </c>
      <c r="I5" t="s">
        <v>26</v>
      </c>
      <c r="J5" t="s">
        <v>26</v>
      </c>
      <c r="K5" t="s">
        <v>17</v>
      </c>
      <c r="L5" t="s">
        <v>18</v>
      </c>
      <c r="M5">
        <v>3.048</v>
      </c>
      <c r="N5" t="s">
        <v>19</v>
      </c>
      <c r="O5" t="s">
        <v>20</v>
      </c>
    </row>
    <row r="6" spans="1:15">
      <c r="A6">
        <v>4</v>
      </c>
      <c r="B6" t="s">
        <v>27</v>
      </c>
      <c r="C6">
        <v>75</v>
      </c>
      <c r="D6">
        <v>0.1</v>
      </c>
      <c r="E6">
        <v>0.12</v>
      </c>
      <c r="F6">
        <v>0</v>
      </c>
      <c r="G6" t="s">
        <v>15</v>
      </c>
      <c r="H6">
        <v>4</v>
      </c>
      <c r="I6" t="s">
        <v>16</v>
      </c>
      <c r="J6" t="s">
        <v>16</v>
      </c>
      <c r="K6" t="s">
        <v>17</v>
      </c>
      <c r="L6" t="s">
        <v>18</v>
      </c>
      <c r="M6">
        <v>3.048</v>
      </c>
      <c r="N6" t="s">
        <v>19</v>
      </c>
      <c r="O6" t="s">
        <v>20</v>
      </c>
    </row>
    <row r="7" spans="1:15">
      <c r="A7">
        <v>5</v>
      </c>
      <c r="B7" t="s">
        <v>28</v>
      </c>
      <c r="C7">
        <v>75</v>
      </c>
      <c r="D7">
        <v>0.1</v>
      </c>
      <c r="E7">
        <v>0.12</v>
      </c>
      <c r="F7">
        <v>0</v>
      </c>
      <c r="G7" t="s">
        <v>15</v>
      </c>
      <c r="H7">
        <v>14</v>
      </c>
      <c r="I7" t="s">
        <v>29</v>
      </c>
      <c r="J7" t="s">
        <v>16</v>
      </c>
      <c r="K7" t="s">
        <v>17</v>
      </c>
      <c r="L7" t="s">
        <v>18</v>
      </c>
      <c r="M7">
        <v>3.048</v>
      </c>
      <c r="N7" t="s">
        <v>19</v>
      </c>
      <c r="O7" t="s">
        <v>20</v>
      </c>
    </row>
    <row r="8" spans="1:15">
      <c r="A8">
        <v>6</v>
      </c>
      <c r="B8" t="s">
        <v>30</v>
      </c>
      <c r="C8">
        <v>75</v>
      </c>
      <c r="D8">
        <v>0.1</v>
      </c>
      <c r="E8">
        <v>0.12</v>
      </c>
      <c r="F8">
        <v>0</v>
      </c>
      <c r="G8" t="s">
        <v>15</v>
      </c>
      <c r="H8">
        <v>24</v>
      </c>
      <c r="I8" t="s">
        <v>31</v>
      </c>
      <c r="J8" t="s">
        <v>16</v>
      </c>
      <c r="K8" t="s">
        <v>17</v>
      </c>
      <c r="L8" t="s">
        <v>18</v>
      </c>
      <c r="M8">
        <v>3.048</v>
      </c>
      <c r="N8" t="s">
        <v>19</v>
      </c>
      <c r="O8" t="s">
        <v>20</v>
      </c>
    </row>
    <row r="9" spans="1:15">
      <c r="A9">
        <v>7</v>
      </c>
      <c r="B9" t="s">
        <v>32</v>
      </c>
      <c r="C9">
        <v>75</v>
      </c>
      <c r="D9">
        <v>0.1</v>
      </c>
      <c r="E9">
        <v>0.12</v>
      </c>
      <c r="F9">
        <v>0</v>
      </c>
      <c r="G9" t="s">
        <v>15</v>
      </c>
      <c r="H9">
        <v>34</v>
      </c>
      <c r="I9" t="s">
        <v>33</v>
      </c>
      <c r="J9" t="s">
        <v>16</v>
      </c>
      <c r="K9" t="s">
        <v>17</v>
      </c>
      <c r="L9" t="s">
        <v>18</v>
      </c>
      <c r="M9">
        <v>3.048</v>
      </c>
      <c r="N9" t="s">
        <v>19</v>
      </c>
      <c r="O9" t="s">
        <v>20</v>
      </c>
    </row>
    <row r="10" spans="1:15">
      <c r="A10">
        <v>8</v>
      </c>
      <c r="B10" t="s">
        <v>34</v>
      </c>
      <c r="C10">
        <v>79</v>
      </c>
      <c r="D10">
        <v>0.2</v>
      </c>
      <c r="E10">
        <v>0</v>
      </c>
      <c r="F10">
        <v>10</v>
      </c>
      <c r="G10" t="s">
        <v>35</v>
      </c>
      <c r="H10">
        <v>0</v>
      </c>
      <c r="I10" t="s">
        <v>15</v>
      </c>
      <c r="J10" t="s">
        <v>16</v>
      </c>
      <c r="K10" t="s">
        <v>36</v>
      </c>
      <c r="L10" t="s">
        <v>37</v>
      </c>
      <c r="M10">
        <v>0</v>
      </c>
      <c r="N10" t="s">
        <v>38</v>
      </c>
      <c r="O10" t="s">
        <v>39</v>
      </c>
    </row>
    <row r="11" spans="1:15">
      <c r="A11">
        <v>9</v>
      </c>
      <c r="B11" t="s">
        <v>40</v>
      </c>
      <c r="C11">
        <v>36</v>
      </c>
      <c r="D11">
        <v>0.2</v>
      </c>
      <c r="E11">
        <v>0.3</v>
      </c>
      <c r="F11">
        <v>10</v>
      </c>
      <c r="G11" t="s">
        <v>35</v>
      </c>
      <c r="H11">
        <v>1</v>
      </c>
      <c r="I11" t="s">
        <v>22</v>
      </c>
      <c r="J11" t="s">
        <v>22</v>
      </c>
      <c r="K11" t="s">
        <v>36</v>
      </c>
      <c r="L11" t="s">
        <v>37</v>
      </c>
      <c r="M11">
        <v>7.62</v>
      </c>
      <c r="N11" t="s">
        <v>38</v>
      </c>
      <c r="O11" t="s">
        <v>39</v>
      </c>
    </row>
    <row r="12" spans="1:15">
      <c r="A12">
        <v>10</v>
      </c>
      <c r="B12" t="s">
        <v>41</v>
      </c>
      <c r="C12">
        <v>60</v>
      </c>
      <c r="D12">
        <v>0.2</v>
      </c>
      <c r="E12">
        <v>0.15</v>
      </c>
      <c r="F12">
        <v>10</v>
      </c>
      <c r="G12" t="s">
        <v>35</v>
      </c>
      <c r="H12">
        <v>2</v>
      </c>
      <c r="I12" t="s">
        <v>24</v>
      </c>
      <c r="J12" t="s">
        <v>24</v>
      </c>
      <c r="K12" t="s">
        <v>36</v>
      </c>
      <c r="L12" t="s">
        <v>37</v>
      </c>
      <c r="M12">
        <v>3.81</v>
      </c>
      <c r="N12" t="s">
        <v>38</v>
      </c>
      <c r="O12" t="s">
        <v>39</v>
      </c>
    </row>
    <row r="13" spans="1:15">
      <c r="A13">
        <v>11</v>
      </c>
      <c r="B13" t="s">
        <v>42</v>
      </c>
      <c r="C13">
        <v>73</v>
      </c>
      <c r="D13">
        <v>0.2</v>
      </c>
      <c r="E13">
        <v>0.05</v>
      </c>
      <c r="F13">
        <v>10</v>
      </c>
      <c r="G13" t="s">
        <v>35</v>
      </c>
      <c r="H13">
        <v>3</v>
      </c>
      <c r="I13" t="s">
        <v>26</v>
      </c>
      <c r="J13" t="s">
        <v>26</v>
      </c>
      <c r="K13" t="s">
        <v>36</v>
      </c>
      <c r="L13" t="s">
        <v>37</v>
      </c>
      <c r="M13">
        <v>1.27</v>
      </c>
      <c r="N13" t="s">
        <v>38</v>
      </c>
      <c r="O13" t="s">
        <v>39</v>
      </c>
    </row>
    <row r="14" spans="1:15">
      <c r="A14">
        <v>12</v>
      </c>
      <c r="B14" t="s">
        <v>43</v>
      </c>
      <c r="C14">
        <v>79</v>
      </c>
      <c r="D14">
        <v>0.2</v>
      </c>
      <c r="E14">
        <v>0</v>
      </c>
      <c r="F14">
        <v>10</v>
      </c>
      <c r="G14" t="s">
        <v>35</v>
      </c>
      <c r="H14">
        <v>4</v>
      </c>
      <c r="I14" t="s">
        <v>16</v>
      </c>
      <c r="J14" t="s">
        <v>16</v>
      </c>
      <c r="K14" t="s">
        <v>36</v>
      </c>
      <c r="L14" t="s">
        <v>37</v>
      </c>
      <c r="M14">
        <v>0</v>
      </c>
      <c r="N14" t="s">
        <v>38</v>
      </c>
      <c r="O14" t="s">
        <v>39</v>
      </c>
    </row>
    <row r="15" spans="1:15">
      <c r="A15">
        <v>13</v>
      </c>
      <c r="B15" t="s">
        <v>44</v>
      </c>
      <c r="C15">
        <v>79</v>
      </c>
      <c r="D15">
        <v>0.2</v>
      </c>
      <c r="E15">
        <v>0</v>
      </c>
      <c r="F15">
        <v>10</v>
      </c>
      <c r="G15" t="s">
        <v>35</v>
      </c>
      <c r="H15">
        <v>14</v>
      </c>
      <c r="I15" t="s">
        <v>29</v>
      </c>
      <c r="J15" t="s">
        <v>16</v>
      </c>
      <c r="K15" t="s">
        <v>36</v>
      </c>
      <c r="L15" t="s">
        <v>37</v>
      </c>
      <c r="M15">
        <v>0</v>
      </c>
      <c r="N15" t="s">
        <v>38</v>
      </c>
      <c r="O15" t="s">
        <v>39</v>
      </c>
    </row>
    <row r="16" spans="1:15">
      <c r="A16">
        <v>14</v>
      </c>
      <c r="B16" t="s">
        <v>45</v>
      </c>
      <c r="C16">
        <v>79</v>
      </c>
      <c r="D16">
        <v>0.2</v>
      </c>
      <c r="E16">
        <v>0</v>
      </c>
      <c r="F16">
        <v>10</v>
      </c>
      <c r="G16" t="s">
        <v>35</v>
      </c>
      <c r="H16">
        <v>24</v>
      </c>
      <c r="I16" t="s">
        <v>31</v>
      </c>
      <c r="J16" t="s">
        <v>16</v>
      </c>
      <c r="K16" t="s">
        <v>36</v>
      </c>
      <c r="L16" t="s">
        <v>37</v>
      </c>
      <c r="M16">
        <v>0</v>
      </c>
      <c r="N16" t="s">
        <v>38</v>
      </c>
      <c r="O16" t="s">
        <v>39</v>
      </c>
    </row>
    <row r="17" spans="1:15">
      <c r="A17">
        <v>15</v>
      </c>
      <c r="B17" t="s">
        <v>46</v>
      </c>
      <c r="C17">
        <v>79</v>
      </c>
      <c r="D17">
        <v>0.2</v>
      </c>
      <c r="E17">
        <v>0</v>
      </c>
      <c r="F17">
        <v>10</v>
      </c>
      <c r="G17" t="s">
        <v>35</v>
      </c>
      <c r="H17">
        <v>34</v>
      </c>
      <c r="I17" t="s">
        <v>33</v>
      </c>
      <c r="J17" t="s">
        <v>16</v>
      </c>
      <c r="K17" t="s">
        <v>36</v>
      </c>
      <c r="L17" t="s">
        <v>37</v>
      </c>
      <c r="M17">
        <v>0</v>
      </c>
      <c r="N17" t="s">
        <v>38</v>
      </c>
      <c r="O17" t="s">
        <v>39</v>
      </c>
    </row>
    <row r="18" spans="1:15">
      <c r="A18">
        <v>16</v>
      </c>
      <c r="B18" t="s">
        <v>47</v>
      </c>
      <c r="C18">
        <v>86</v>
      </c>
      <c r="D18">
        <v>0.2</v>
      </c>
      <c r="E18">
        <v>0</v>
      </c>
      <c r="F18">
        <v>20</v>
      </c>
      <c r="G18" t="s">
        <v>48</v>
      </c>
      <c r="H18">
        <v>0</v>
      </c>
      <c r="I18" t="s">
        <v>15</v>
      </c>
      <c r="J18" t="s">
        <v>16</v>
      </c>
      <c r="K18" t="s">
        <v>49</v>
      </c>
      <c r="L18" t="s">
        <v>18</v>
      </c>
      <c r="M18">
        <v>0</v>
      </c>
      <c r="N18" t="s">
        <v>50</v>
      </c>
      <c r="O18" t="s">
        <v>39</v>
      </c>
    </row>
    <row r="19" spans="1:15">
      <c r="A19">
        <v>17</v>
      </c>
      <c r="B19" t="s">
        <v>51</v>
      </c>
      <c r="C19">
        <v>55</v>
      </c>
      <c r="D19">
        <v>0.2</v>
      </c>
      <c r="E19">
        <v>0.3</v>
      </c>
      <c r="F19">
        <v>20</v>
      </c>
      <c r="G19" t="s">
        <v>48</v>
      </c>
      <c r="H19">
        <v>1</v>
      </c>
      <c r="I19" t="s">
        <v>22</v>
      </c>
      <c r="J19" t="s">
        <v>22</v>
      </c>
      <c r="K19" t="s">
        <v>49</v>
      </c>
      <c r="L19" t="s">
        <v>18</v>
      </c>
      <c r="M19">
        <v>7.62</v>
      </c>
      <c r="N19" t="s">
        <v>50</v>
      </c>
      <c r="O19" t="s">
        <v>39</v>
      </c>
    </row>
    <row r="20" spans="1:15">
      <c r="A20">
        <v>18</v>
      </c>
      <c r="B20" t="s">
        <v>52</v>
      </c>
      <c r="C20">
        <v>72</v>
      </c>
      <c r="D20">
        <v>0.2</v>
      </c>
      <c r="E20">
        <v>0.15</v>
      </c>
      <c r="F20">
        <v>20</v>
      </c>
      <c r="G20" t="s">
        <v>48</v>
      </c>
      <c r="H20">
        <v>2</v>
      </c>
      <c r="I20" t="s">
        <v>24</v>
      </c>
      <c r="J20" t="s">
        <v>24</v>
      </c>
      <c r="K20" t="s">
        <v>49</v>
      </c>
      <c r="L20" t="s">
        <v>18</v>
      </c>
      <c r="M20">
        <v>3.81</v>
      </c>
      <c r="N20" t="s">
        <v>50</v>
      </c>
      <c r="O20" t="s">
        <v>39</v>
      </c>
    </row>
    <row r="21" spans="1:15">
      <c r="A21">
        <v>19</v>
      </c>
      <c r="B21" t="s">
        <v>53</v>
      </c>
      <c r="C21">
        <v>81</v>
      </c>
      <c r="D21">
        <v>0.2</v>
      </c>
      <c r="E21">
        <v>0.05</v>
      </c>
      <c r="F21">
        <v>20</v>
      </c>
      <c r="G21" t="s">
        <v>48</v>
      </c>
      <c r="H21">
        <v>3</v>
      </c>
      <c r="I21" t="s">
        <v>26</v>
      </c>
      <c r="J21" t="s">
        <v>26</v>
      </c>
      <c r="K21" t="s">
        <v>49</v>
      </c>
      <c r="L21" t="s">
        <v>18</v>
      </c>
      <c r="M21">
        <v>1.27</v>
      </c>
      <c r="N21" t="s">
        <v>50</v>
      </c>
      <c r="O21" t="s">
        <v>39</v>
      </c>
    </row>
    <row r="22" spans="1:15">
      <c r="A22">
        <v>20</v>
      </c>
      <c r="B22" t="s">
        <v>54</v>
      </c>
      <c r="C22">
        <v>86</v>
      </c>
      <c r="D22">
        <v>0.2</v>
      </c>
      <c r="E22">
        <v>0</v>
      </c>
      <c r="F22">
        <v>20</v>
      </c>
      <c r="G22" t="s">
        <v>48</v>
      </c>
      <c r="H22">
        <v>4</v>
      </c>
      <c r="I22" t="s">
        <v>16</v>
      </c>
      <c r="J22" t="s">
        <v>16</v>
      </c>
      <c r="K22" t="s">
        <v>49</v>
      </c>
      <c r="L22" t="s">
        <v>18</v>
      </c>
      <c r="M22">
        <v>0</v>
      </c>
      <c r="N22" t="s">
        <v>50</v>
      </c>
      <c r="O22" t="s">
        <v>39</v>
      </c>
    </row>
    <row r="23" spans="1:15">
      <c r="A23">
        <v>21</v>
      </c>
      <c r="B23" t="s">
        <v>55</v>
      </c>
      <c r="C23">
        <v>86</v>
      </c>
      <c r="D23">
        <v>0.2</v>
      </c>
      <c r="E23">
        <v>0</v>
      </c>
      <c r="F23">
        <v>20</v>
      </c>
      <c r="G23" t="s">
        <v>48</v>
      </c>
      <c r="H23">
        <v>14</v>
      </c>
      <c r="I23" t="s">
        <v>29</v>
      </c>
      <c r="J23" t="s">
        <v>16</v>
      </c>
      <c r="K23" t="s">
        <v>49</v>
      </c>
      <c r="L23" t="s">
        <v>18</v>
      </c>
      <c r="M23">
        <v>0</v>
      </c>
      <c r="N23" t="s">
        <v>50</v>
      </c>
      <c r="O23" t="s">
        <v>39</v>
      </c>
    </row>
    <row r="24" spans="1:15">
      <c r="A24">
        <v>22</v>
      </c>
      <c r="B24" t="s">
        <v>56</v>
      </c>
      <c r="C24">
        <v>86</v>
      </c>
      <c r="D24">
        <v>0.2</v>
      </c>
      <c r="E24">
        <v>0</v>
      </c>
      <c r="F24">
        <v>20</v>
      </c>
      <c r="G24" t="s">
        <v>48</v>
      </c>
      <c r="H24">
        <v>24</v>
      </c>
      <c r="I24" t="s">
        <v>31</v>
      </c>
      <c r="J24" t="s">
        <v>16</v>
      </c>
      <c r="K24" t="s">
        <v>49</v>
      </c>
      <c r="L24" t="s">
        <v>18</v>
      </c>
      <c r="M24">
        <v>0</v>
      </c>
      <c r="N24" t="s">
        <v>50</v>
      </c>
      <c r="O24" t="s">
        <v>39</v>
      </c>
    </row>
    <row r="25" spans="1:15">
      <c r="A25">
        <v>23</v>
      </c>
      <c r="B25" t="s">
        <v>57</v>
      </c>
      <c r="C25">
        <v>86</v>
      </c>
      <c r="D25">
        <v>0.2</v>
      </c>
      <c r="E25">
        <v>0</v>
      </c>
      <c r="F25">
        <v>20</v>
      </c>
      <c r="G25" t="s">
        <v>48</v>
      </c>
      <c r="H25">
        <v>34</v>
      </c>
      <c r="I25" t="s">
        <v>33</v>
      </c>
      <c r="J25" t="s">
        <v>16</v>
      </c>
      <c r="K25" t="s">
        <v>49</v>
      </c>
      <c r="L25" t="s">
        <v>18</v>
      </c>
      <c r="M25">
        <v>0</v>
      </c>
      <c r="N25" t="s">
        <v>50</v>
      </c>
      <c r="O25" t="s">
        <v>39</v>
      </c>
    </row>
    <row r="26" spans="1:15">
      <c r="A26">
        <v>24</v>
      </c>
      <c r="B26" t="s">
        <v>58</v>
      </c>
      <c r="C26">
        <v>84</v>
      </c>
      <c r="D26">
        <v>0.2</v>
      </c>
      <c r="E26">
        <v>0</v>
      </c>
      <c r="F26">
        <v>30</v>
      </c>
      <c r="G26" t="s">
        <v>59</v>
      </c>
      <c r="H26">
        <v>0</v>
      </c>
      <c r="I26" t="s">
        <v>15</v>
      </c>
      <c r="J26" t="s">
        <v>16</v>
      </c>
      <c r="K26" t="s">
        <v>60</v>
      </c>
      <c r="L26" t="s">
        <v>18</v>
      </c>
      <c r="M26">
        <v>0</v>
      </c>
      <c r="N26" t="s">
        <v>50</v>
      </c>
      <c r="O26" t="s">
        <v>39</v>
      </c>
    </row>
    <row r="27" spans="1:15">
      <c r="A27">
        <v>25</v>
      </c>
      <c r="B27" t="s">
        <v>61</v>
      </c>
      <c r="C27">
        <v>50</v>
      </c>
      <c r="D27">
        <v>0.2</v>
      </c>
      <c r="E27">
        <v>0.3</v>
      </c>
      <c r="F27">
        <v>30</v>
      </c>
      <c r="G27" t="s">
        <v>59</v>
      </c>
      <c r="H27">
        <v>1</v>
      </c>
      <c r="I27" t="s">
        <v>22</v>
      </c>
      <c r="J27" t="s">
        <v>22</v>
      </c>
      <c r="K27" t="s">
        <v>60</v>
      </c>
      <c r="L27" t="s">
        <v>18</v>
      </c>
      <c r="M27">
        <v>7.62</v>
      </c>
      <c r="N27" t="s">
        <v>50</v>
      </c>
      <c r="O27" t="s">
        <v>39</v>
      </c>
    </row>
    <row r="28" spans="1:15">
      <c r="A28">
        <v>26</v>
      </c>
      <c r="B28" t="s">
        <v>62</v>
      </c>
      <c r="C28">
        <v>69</v>
      </c>
      <c r="D28">
        <v>0.2</v>
      </c>
      <c r="E28">
        <v>0.15</v>
      </c>
      <c r="F28">
        <v>30</v>
      </c>
      <c r="G28" t="s">
        <v>59</v>
      </c>
      <c r="H28">
        <v>2</v>
      </c>
      <c r="I28" t="s">
        <v>24</v>
      </c>
      <c r="J28" t="s">
        <v>24</v>
      </c>
      <c r="K28" t="s">
        <v>60</v>
      </c>
      <c r="L28" t="s">
        <v>18</v>
      </c>
      <c r="M28">
        <v>3.81</v>
      </c>
      <c r="N28" t="s">
        <v>50</v>
      </c>
      <c r="O28" t="s">
        <v>39</v>
      </c>
    </row>
    <row r="29" spans="1:15">
      <c r="A29">
        <v>27</v>
      </c>
      <c r="B29" t="s">
        <v>63</v>
      </c>
      <c r="C29">
        <v>79</v>
      </c>
      <c r="D29">
        <v>0.2</v>
      </c>
      <c r="E29">
        <v>0.05</v>
      </c>
      <c r="F29">
        <v>30</v>
      </c>
      <c r="G29" t="s">
        <v>59</v>
      </c>
      <c r="H29">
        <v>3</v>
      </c>
      <c r="I29" t="s">
        <v>26</v>
      </c>
      <c r="J29" t="s">
        <v>26</v>
      </c>
      <c r="K29" t="s">
        <v>60</v>
      </c>
      <c r="L29" t="s">
        <v>18</v>
      </c>
      <c r="M29">
        <v>1.27</v>
      </c>
      <c r="N29" t="s">
        <v>50</v>
      </c>
      <c r="O29" t="s">
        <v>39</v>
      </c>
    </row>
    <row r="30" spans="1:15">
      <c r="A30">
        <v>28</v>
      </c>
      <c r="B30" t="s">
        <v>64</v>
      </c>
      <c r="C30">
        <v>84</v>
      </c>
      <c r="D30">
        <v>0.2</v>
      </c>
      <c r="E30">
        <v>0</v>
      </c>
      <c r="F30">
        <v>30</v>
      </c>
      <c r="G30" t="s">
        <v>59</v>
      </c>
      <c r="H30">
        <v>4</v>
      </c>
      <c r="I30" t="s">
        <v>16</v>
      </c>
      <c r="J30" t="s">
        <v>16</v>
      </c>
      <c r="K30" t="s">
        <v>60</v>
      </c>
      <c r="L30" t="s">
        <v>18</v>
      </c>
      <c r="M30">
        <v>0</v>
      </c>
      <c r="N30" t="s">
        <v>50</v>
      </c>
      <c r="O30" t="s">
        <v>39</v>
      </c>
    </row>
    <row r="31" spans="1:15">
      <c r="A31">
        <v>29</v>
      </c>
      <c r="B31" t="s">
        <v>65</v>
      </c>
      <c r="C31">
        <v>84</v>
      </c>
      <c r="D31">
        <v>0.2</v>
      </c>
      <c r="E31">
        <v>0</v>
      </c>
      <c r="F31">
        <v>30</v>
      </c>
      <c r="G31" t="s">
        <v>59</v>
      </c>
      <c r="H31">
        <v>14</v>
      </c>
      <c r="I31" t="s">
        <v>29</v>
      </c>
      <c r="J31" t="s">
        <v>16</v>
      </c>
      <c r="K31" t="s">
        <v>60</v>
      </c>
      <c r="L31" t="s">
        <v>18</v>
      </c>
      <c r="M31">
        <v>0</v>
      </c>
      <c r="N31" t="s">
        <v>50</v>
      </c>
      <c r="O31" t="s">
        <v>39</v>
      </c>
    </row>
    <row r="32" spans="1:15">
      <c r="A32">
        <v>30</v>
      </c>
      <c r="B32" t="s">
        <v>66</v>
      </c>
      <c r="C32">
        <v>84</v>
      </c>
      <c r="D32">
        <v>0.2</v>
      </c>
      <c r="E32">
        <v>0</v>
      </c>
      <c r="F32">
        <v>30</v>
      </c>
      <c r="G32" t="s">
        <v>59</v>
      </c>
      <c r="H32">
        <v>24</v>
      </c>
      <c r="I32" t="s">
        <v>31</v>
      </c>
      <c r="J32" t="s">
        <v>16</v>
      </c>
      <c r="K32" t="s">
        <v>60</v>
      </c>
      <c r="L32" t="s">
        <v>18</v>
      </c>
      <c r="M32">
        <v>0</v>
      </c>
      <c r="N32" t="s">
        <v>50</v>
      </c>
      <c r="O32" t="s">
        <v>39</v>
      </c>
    </row>
    <row r="33" spans="1:15">
      <c r="A33">
        <v>31</v>
      </c>
      <c r="B33" t="s">
        <v>67</v>
      </c>
      <c r="C33">
        <v>84</v>
      </c>
      <c r="D33">
        <v>0.2</v>
      </c>
      <c r="E33">
        <v>0</v>
      </c>
      <c r="F33">
        <v>30</v>
      </c>
      <c r="G33" t="s">
        <v>59</v>
      </c>
      <c r="H33">
        <v>34</v>
      </c>
      <c r="I33" t="s">
        <v>33</v>
      </c>
      <c r="J33" t="s">
        <v>16</v>
      </c>
      <c r="K33" t="s">
        <v>60</v>
      </c>
      <c r="L33" t="s">
        <v>18</v>
      </c>
      <c r="M33">
        <v>0</v>
      </c>
      <c r="N33" t="s">
        <v>50</v>
      </c>
      <c r="O33" t="s">
        <v>39</v>
      </c>
    </row>
    <row r="34" spans="1:15">
      <c r="A34">
        <v>32</v>
      </c>
      <c r="B34" t="s">
        <v>68</v>
      </c>
      <c r="C34">
        <v>89</v>
      </c>
      <c r="D34">
        <v>0.2</v>
      </c>
      <c r="E34">
        <v>0</v>
      </c>
      <c r="F34">
        <v>40</v>
      </c>
      <c r="G34" t="s">
        <v>69</v>
      </c>
      <c r="H34">
        <v>0</v>
      </c>
      <c r="I34" t="s">
        <v>15</v>
      </c>
      <c r="J34" t="s">
        <v>16</v>
      </c>
      <c r="K34" t="s">
        <v>70</v>
      </c>
      <c r="L34" t="s">
        <v>18</v>
      </c>
      <c r="M34">
        <v>0</v>
      </c>
      <c r="N34" t="s">
        <v>50</v>
      </c>
      <c r="O34" t="s">
        <v>39</v>
      </c>
    </row>
    <row r="35" spans="1:15">
      <c r="A35">
        <v>33</v>
      </c>
      <c r="B35" t="s">
        <v>71</v>
      </c>
      <c r="C35">
        <v>67</v>
      </c>
      <c r="D35">
        <v>0.2</v>
      </c>
      <c r="E35">
        <v>0.3</v>
      </c>
      <c r="F35">
        <v>40</v>
      </c>
      <c r="G35" t="s">
        <v>69</v>
      </c>
      <c r="H35">
        <v>1</v>
      </c>
      <c r="I35" t="s">
        <v>22</v>
      </c>
      <c r="J35" t="s">
        <v>22</v>
      </c>
      <c r="K35" t="s">
        <v>70</v>
      </c>
      <c r="L35" t="s">
        <v>18</v>
      </c>
      <c r="M35">
        <v>7.62</v>
      </c>
      <c r="N35" t="s">
        <v>50</v>
      </c>
      <c r="O35" t="s">
        <v>39</v>
      </c>
    </row>
    <row r="36" spans="1:15">
      <c r="A36">
        <v>34</v>
      </c>
      <c r="B36" t="s">
        <v>72</v>
      </c>
      <c r="C36">
        <v>78</v>
      </c>
      <c r="D36">
        <v>0.2</v>
      </c>
      <c r="E36">
        <v>0.15</v>
      </c>
      <c r="F36">
        <v>40</v>
      </c>
      <c r="G36" t="s">
        <v>69</v>
      </c>
      <c r="H36">
        <v>2</v>
      </c>
      <c r="I36" t="s">
        <v>24</v>
      </c>
      <c r="J36" t="s">
        <v>24</v>
      </c>
      <c r="K36" t="s">
        <v>70</v>
      </c>
      <c r="L36" t="s">
        <v>18</v>
      </c>
      <c r="M36">
        <v>3.81</v>
      </c>
      <c r="N36" t="s">
        <v>50</v>
      </c>
      <c r="O36" t="s">
        <v>39</v>
      </c>
    </row>
    <row r="37" spans="1:15">
      <c r="A37">
        <v>35</v>
      </c>
      <c r="B37" t="s">
        <v>73</v>
      </c>
      <c r="C37">
        <v>85</v>
      </c>
      <c r="D37">
        <v>0.2</v>
      </c>
      <c r="E37">
        <v>0.05</v>
      </c>
      <c r="F37">
        <v>40</v>
      </c>
      <c r="G37" t="s">
        <v>69</v>
      </c>
      <c r="H37">
        <v>3</v>
      </c>
      <c r="I37" t="s">
        <v>26</v>
      </c>
      <c r="J37" t="s">
        <v>26</v>
      </c>
      <c r="K37" t="s">
        <v>70</v>
      </c>
      <c r="L37" t="s">
        <v>18</v>
      </c>
      <c r="M37">
        <v>1.27</v>
      </c>
      <c r="N37" t="s">
        <v>50</v>
      </c>
      <c r="O37" t="s">
        <v>39</v>
      </c>
    </row>
    <row r="38" spans="1:15">
      <c r="A38">
        <v>36</v>
      </c>
      <c r="B38" t="s">
        <v>74</v>
      </c>
      <c r="C38">
        <v>89</v>
      </c>
      <c r="D38">
        <v>0.2</v>
      </c>
      <c r="E38">
        <v>0</v>
      </c>
      <c r="F38">
        <v>40</v>
      </c>
      <c r="G38" t="s">
        <v>69</v>
      </c>
      <c r="H38">
        <v>4</v>
      </c>
      <c r="I38" t="s">
        <v>16</v>
      </c>
      <c r="J38" t="s">
        <v>16</v>
      </c>
      <c r="K38" t="s">
        <v>70</v>
      </c>
      <c r="L38" t="s">
        <v>18</v>
      </c>
      <c r="M38">
        <v>0</v>
      </c>
      <c r="N38" t="s">
        <v>50</v>
      </c>
      <c r="O38" t="s">
        <v>39</v>
      </c>
    </row>
    <row r="39" spans="1:15">
      <c r="A39">
        <v>37</v>
      </c>
      <c r="B39" t="s">
        <v>75</v>
      </c>
      <c r="C39">
        <v>89</v>
      </c>
      <c r="D39">
        <v>0.2</v>
      </c>
      <c r="E39">
        <v>0</v>
      </c>
      <c r="F39">
        <v>40</v>
      </c>
      <c r="G39" t="s">
        <v>69</v>
      </c>
      <c r="H39">
        <v>14</v>
      </c>
      <c r="I39" t="s">
        <v>29</v>
      </c>
      <c r="J39" t="s">
        <v>16</v>
      </c>
      <c r="K39" t="s">
        <v>70</v>
      </c>
      <c r="L39" t="s">
        <v>18</v>
      </c>
      <c r="M39">
        <v>0</v>
      </c>
      <c r="N39" t="s">
        <v>50</v>
      </c>
      <c r="O39" t="s">
        <v>39</v>
      </c>
    </row>
    <row r="40" spans="1:15">
      <c r="A40">
        <v>38</v>
      </c>
      <c r="B40" t="s">
        <v>76</v>
      </c>
      <c r="C40">
        <v>89</v>
      </c>
      <c r="D40">
        <v>0.2</v>
      </c>
      <c r="E40">
        <v>0</v>
      </c>
      <c r="F40">
        <v>40</v>
      </c>
      <c r="G40" t="s">
        <v>69</v>
      </c>
      <c r="H40">
        <v>24</v>
      </c>
      <c r="I40" t="s">
        <v>31</v>
      </c>
      <c r="J40" t="s">
        <v>16</v>
      </c>
      <c r="K40" t="s">
        <v>70</v>
      </c>
      <c r="L40" t="s">
        <v>18</v>
      </c>
      <c r="M40">
        <v>0</v>
      </c>
      <c r="N40" t="s">
        <v>50</v>
      </c>
      <c r="O40" t="s">
        <v>39</v>
      </c>
    </row>
    <row r="41" spans="1:15">
      <c r="A41">
        <v>39</v>
      </c>
      <c r="B41" t="s">
        <v>77</v>
      </c>
      <c r="C41">
        <v>89</v>
      </c>
      <c r="D41">
        <v>0.2</v>
      </c>
      <c r="E41">
        <v>0</v>
      </c>
      <c r="F41">
        <v>40</v>
      </c>
      <c r="G41" t="s">
        <v>69</v>
      </c>
      <c r="H41">
        <v>34</v>
      </c>
      <c r="I41" t="s">
        <v>33</v>
      </c>
      <c r="J41" t="s">
        <v>16</v>
      </c>
      <c r="K41" t="s">
        <v>70</v>
      </c>
      <c r="L41" t="s">
        <v>18</v>
      </c>
      <c r="M41">
        <v>0</v>
      </c>
      <c r="N41" t="s">
        <v>50</v>
      </c>
      <c r="O41" t="s">
        <v>39</v>
      </c>
    </row>
    <row r="42" spans="1:15">
      <c r="A42">
        <v>40</v>
      </c>
      <c r="B42" t="s">
        <v>78</v>
      </c>
      <c r="C42">
        <v>93</v>
      </c>
      <c r="D42">
        <v>0.2</v>
      </c>
      <c r="E42">
        <v>0</v>
      </c>
      <c r="F42">
        <v>50</v>
      </c>
      <c r="G42" t="s">
        <v>79</v>
      </c>
      <c r="H42">
        <v>0</v>
      </c>
      <c r="I42" t="s">
        <v>15</v>
      </c>
      <c r="J42" t="s">
        <v>16</v>
      </c>
      <c r="K42" t="s">
        <v>80</v>
      </c>
      <c r="L42" t="s">
        <v>37</v>
      </c>
      <c r="M42">
        <v>0</v>
      </c>
      <c r="N42" t="s">
        <v>81</v>
      </c>
      <c r="O42" t="s">
        <v>39</v>
      </c>
    </row>
    <row r="43" spans="1:15">
      <c r="A43">
        <v>41</v>
      </c>
      <c r="B43" t="s">
        <v>82</v>
      </c>
      <c r="C43">
        <v>81</v>
      </c>
      <c r="D43">
        <v>0.2</v>
      </c>
      <c r="E43">
        <v>0.3</v>
      </c>
      <c r="F43">
        <v>50</v>
      </c>
      <c r="G43" t="s">
        <v>79</v>
      </c>
      <c r="H43">
        <v>1</v>
      </c>
      <c r="I43" t="s">
        <v>22</v>
      </c>
      <c r="J43" t="s">
        <v>22</v>
      </c>
      <c r="K43" t="s">
        <v>80</v>
      </c>
      <c r="L43" t="s">
        <v>37</v>
      </c>
      <c r="M43">
        <v>7.62</v>
      </c>
      <c r="N43" t="s">
        <v>81</v>
      </c>
      <c r="O43" t="s">
        <v>39</v>
      </c>
    </row>
    <row r="44" spans="1:15">
      <c r="A44">
        <v>42</v>
      </c>
      <c r="B44" t="s">
        <v>83</v>
      </c>
      <c r="C44">
        <v>88</v>
      </c>
      <c r="D44">
        <v>0.2</v>
      </c>
      <c r="E44">
        <v>0.15</v>
      </c>
      <c r="F44">
        <v>50</v>
      </c>
      <c r="G44" t="s">
        <v>79</v>
      </c>
      <c r="H44">
        <v>2</v>
      </c>
      <c r="I44" t="s">
        <v>24</v>
      </c>
      <c r="J44" t="s">
        <v>24</v>
      </c>
      <c r="K44" t="s">
        <v>80</v>
      </c>
      <c r="L44" t="s">
        <v>37</v>
      </c>
      <c r="M44">
        <v>3.81</v>
      </c>
      <c r="N44" t="s">
        <v>81</v>
      </c>
      <c r="O44" t="s">
        <v>39</v>
      </c>
    </row>
    <row r="45" spans="1:15">
      <c r="A45">
        <v>43</v>
      </c>
      <c r="B45" t="s">
        <v>84</v>
      </c>
      <c r="C45">
        <v>91</v>
      </c>
      <c r="D45">
        <v>0.2</v>
      </c>
      <c r="E45">
        <v>0.05</v>
      </c>
      <c r="F45">
        <v>50</v>
      </c>
      <c r="G45" t="s">
        <v>79</v>
      </c>
      <c r="H45">
        <v>3</v>
      </c>
      <c r="I45" t="s">
        <v>26</v>
      </c>
      <c r="J45" t="s">
        <v>26</v>
      </c>
      <c r="K45" t="s">
        <v>80</v>
      </c>
      <c r="L45" t="s">
        <v>37</v>
      </c>
      <c r="M45">
        <v>1.27</v>
      </c>
      <c r="N45" t="s">
        <v>81</v>
      </c>
      <c r="O45" t="s">
        <v>39</v>
      </c>
    </row>
    <row r="46" spans="1:15">
      <c r="A46">
        <v>44</v>
      </c>
      <c r="B46" t="s">
        <v>85</v>
      </c>
      <c r="C46">
        <v>93</v>
      </c>
      <c r="D46">
        <v>0.2</v>
      </c>
      <c r="E46">
        <v>0</v>
      </c>
      <c r="F46">
        <v>50</v>
      </c>
      <c r="G46" t="s">
        <v>79</v>
      </c>
      <c r="H46">
        <v>4</v>
      </c>
      <c r="I46" t="s">
        <v>16</v>
      </c>
      <c r="J46" t="s">
        <v>16</v>
      </c>
      <c r="K46" t="s">
        <v>80</v>
      </c>
      <c r="L46" t="s">
        <v>37</v>
      </c>
      <c r="M46">
        <v>0</v>
      </c>
      <c r="N46" t="s">
        <v>81</v>
      </c>
      <c r="O46" t="s">
        <v>39</v>
      </c>
    </row>
    <row r="47" spans="1:15">
      <c r="A47">
        <v>45</v>
      </c>
      <c r="B47" t="s">
        <v>86</v>
      </c>
      <c r="C47">
        <v>93</v>
      </c>
      <c r="D47">
        <v>0.2</v>
      </c>
      <c r="E47">
        <v>0</v>
      </c>
      <c r="F47">
        <v>50</v>
      </c>
      <c r="G47" t="s">
        <v>79</v>
      </c>
      <c r="H47">
        <v>14</v>
      </c>
      <c r="I47" t="s">
        <v>29</v>
      </c>
      <c r="J47" t="s">
        <v>16</v>
      </c>
      <c r="K47" t="s">
        <v>80</v>
      </c>
      <c r="L47" t="s">
        <v>37</v>
      </c>
      <c r="M47">
        <v>0</v>
      </c>
      <c r="N47" t="s">
        <v>81</v>
      </c>
      <c r="O47" t="s">
        <v>39</v>
      </c>
    </row>
    <row r="48" spans="1:15">
      <c r="A48">
        <v>46</v>
      </c>
      <c r="B48" t="s">
        <v>87</v>
      </c>
      <c r="C48">
        <v>93</v>
      </c>
      <c r="D48">
        <v>0.2</v>
      </c>
      <c r="E48">
        <v>0</v>
      </c>
      <c r="F48">
        <v>50</v>
      </c>
      <c r="G48" t="s">
        <v>79</v>
      </c>
      <c r="H48">
        <v>24</v>
      </c>
      <c r="I48" t="s">
        <v>31</v>
      </c>
      <c r="J48" t="s">
        <v>16</v>
      </c>
      <c r="K48" t="s">
        <v>80</v>
      </c>
      <c r="L48" t="s">
        <v>37</v>
      </c>
      <c r="M48">
        <v>0</v>
      </c>
      <c r="N48" t="s">
        <v>81</v>
      </c>
      <c r="O48" t="s">
        <v>39</v>
      </c>
    </row>
    <row r="49" spans="1:15">
      <c r="A49">
        <v>47</v>
      </c>
      <c r="B49" t="s">
        <v>88</v>
      </c>
      <c r="C49">
        <v>93</v>
      </c>
      <c r="D49">
        <v>0.2</v>
      </c>
      <c r="E49">
        <v>0</v>
      </c>
      <c r="F49">
        <v>50</v>
      </c>
      <c r="G49" t="s">
        <v>79</v>
      </c>
      <c r="H49">
        <v>34</v>
      </c>
      <c r="I49" t="s">
        <v>33</v>
      </c>
      <c r="J49" t="s">
        <v>16</v>
      </c>
      <c r="K49" t="s">
        <v>80</v>
      </c>
      <c r="L49" t="s">
        <v>37</v>
      </c>
      <c r="M49">
        <v>0</v>
      </c>
      <c r="N49" t="s">
        <v>81</v>
      </c>
      <c r="O49" t="s">
        <v>39</v>
      </c>
    </row>
    <row r="50" spans="1:15">
      <c r="A50">
        <v>48</v>
      </c>
      <c r="B50" t="s">
        <v>144</v>
      </c>
      <c r="C50">
        <v>93</v>
      </c>
      <c r="D50">
        <v>0.2</v>
      </c>
      <c r="E50">
        <v>0</v>
      </c>
      <c r="F50">
        <v>60</v>
      </c>
      <c r="G50" t="s">
        <v>89</v>
      </c>
      <c r="H50">
        <v>0</v>
      </c>
      <c r="I50" t="s">
        <v>15</v>
      </c>
      <c r="J50" t="s">
        <v>16</v>
      </c>
      <c r="K50" t="s">
        <v>90</v>
      </c>
      <c r="L50" t="s">
        <v>18</v>
      </c>
      <c r="M50">
        <v>0</v>
      </c>
      <c r="N50" t="s">
        <v>91</v>
      </c>
      <c r="O50" t="s">
        <v>39</v>
      </c>
    </row>
    <row r="51" spans="1:15">
      <c r="A51">
        <v>49</v>
      </c>
      <c r="B51" t="s">
        <v>148</v>
      </c>
      <c r="C51">
        <v>78</v>
      </c>
      <c r="D51">
        <v>0.2</v>
      </c>
      <c r="E51">
        <v>0.3</v>
      </c>
      <c r="F51">
        <v>60</v>
      </c>
      <c r="G51" t="s">
        <v>89</v>
      </c>
      <c r="H51">
        <v>1</v>
      </c>
      <c r="I51" t="s">
        <v>22</v>
      </c>
      <c r="J51" t="s">
        <v>22</v>
      </c>
      <c r="K51" t="s">
        <v>90</v>
      </c>
      <c r="L51" t="s">
        <v>18</v>
      </c>
      <c r="M51">
        <v>7.62</v>
      </c>
      <c r="N51" t="s">
        <v>91</v>
      </c>
      <c r="O51" t="s">
        <v>39</v>
      </c>
    </row>
    <row r="52" spans="1:15">
      <c r="A52">
        <v>50</v>
      </c>
      <c r="B52" t="s">
        <v>147</v>
      </c>
      <c r="C52">
        <v>86</v>
      </c>
      <c r="D52">
        <v>0.2</v>
      </c>
      <c r="E52">
        <v>0.15</v>
      </c>
      <c r="F52">
        <v>60</v>
      </c>
      <c r="G52" t="s">
        <v>89</v>
      </c>
      <c r="H52">
        <v>2</v>
      </c>
      <c r="I52" t="s">
        <v>24</v>
      </c>
      <c r="J52" t="s">
        <v>24</v>
      </c>
      <c r="K52" t="s">
        <v>90</v>
      </c>
      <c r="L52" t="s">
        <v>18</v>
      </c>
      <c r="M52">
        <v>3.81</v>
      </c>
      <c r="N52" t="s">
        <v>91</v>
      </c>
      <c r="O52" t="s">
        <v>39</v>
      </c>
    </row>
    <row r="53" spans="1:15">
      <c r="A53">
        <v>51</v>
      </c>
      <c r="B53" t="s">
        <v>146</v>
      </c>
      <c r="C53">
        <v>91</v>
      </c>
      <c r="D53">
        <v>0.2</v>
      </c>
      <c r="E53">
        <v>0.05</v>
      </c>
      <c r="F53">
        <v>60</v>
      </c>
      <c r="G53" t="s">
        <v>89</v>
      </c>
      <c r="H53">
        <v>3</v>
      </c>
      <c r="I53" t="s">
        <v>26</v>
      </c>
      <c r="J53" t="s">
        <v>26</v>
      </c>
      <c r="K53" t="s">
        <v>90</v>
      </c>
      <c r="L53" t="s">
        <v>18</v>
      </c>
      <c r="M53">
        <v>1.27</v>
      </c>
      <c r="N53" t="s">
        <v>91</v>
      </c>
      <c r="O53" t="s">
        <v>39</v>
      </c>
    </row>
    <row r="54" spans="1:15">
      <c r="A54">
        <v>52</v>
      </c>
      <c r="B54" t="s">
        <v>145</v>
      </c>
      <c r="C54">
        <v>93</v>
      </c>
      <c r="D54">
        <v>0.2</v>
      </c>
      <c r="E54">
        <v>0</v>
      </c>
      <c r="F54">
        <v>60</v>
      </c>
      <c r="G54" t="s">
        <v>89</v>
      </c>
      <c r="H54">
        <v>4</v>
      </c>
      <c r="I54" t="s">
        <v>16</v>
      </c>
      <c r="J54" t="s">
        <v>16</v>
      </c>
      <c r="K54" t="s">
        <v>90</v>
      </c>
      <c r="L54" t="s">
        <v>18</v>
      </c>
      <c r="M54">
        <v>0</v>
      </c>
      <c r="N54" t="s">
        <v>91</v>
      </c>
      <c r="O54" t="s">
        <v>39</v>
      </c>
    </row>
    <row r="55" spans="1:15">
      <c r="A55">
        <v>53</v>
      </c>
      <c r="B55" t="s">
        <v>149</v>
      </c>
      <c r="C55">
        <v>93</v>
      </c>
      <c r="D55">
        <v>0.2</v>
      </c>
      <c r="E55">
        <v>0</v>
      </c>
      <c r="F55">
        <v>60</v>
      </c>
      <c r="G55" t="s">
        <v>89</v>
      </c>
      <c r="H55">
        <v>14</v>
      </c>
      <c r="I55" t="s">
        <v>29</v>
      </c>
      <c r="J55" t="s">
        <v>16</v>
      </c>
      <c r="K55" t="s">
        <v>90</v>
      </c>
      <c r="L55" t="s">
        <v>18</v>
      </c>
      <c r="M55">
        <v>0</v>
      </c>
      <c r="N55" t="s">
        <v>91</v>
      </c>
      <c r="O55" t="s">
        <v>39</v>
      </c>
    </row>
    <row r="56" spans="1:15">
      <c r="A56">
        <v>54</v>
      </c>
      <c r="B56" t="s">
        <v>150</v>
      </c>
      <c r="C56">
        <v>93</v>
      </c>
      <c r="D56">
        <v>0.2</v>
      </c>
      <c r="E56">
        <v>0</v>
      </c>
      <c r="F56">
        <v>60</v>
      </c>
      <c r="G56" t="s">
        <v>89</v>
      </c>
      <c r="H56">
        <v>24</v>
      </c>
      <c r="I56" t="s">
        <v>31</v>
      </c>
      <c r="J56" t="s">
        <v>16</v>
      </c>
      <c r="K56" t="s">
        <v>90</v>
      </c>
      <c r="L56" t="s">
        <v>18</v>
      </c>
      <c r="M56">
        <v>0</v>
      </c>
      <c r="N56" t="s">
        <v>91</v>
      </c>
      <c r="O56" t="s">
        <v>39</v>
      </c>
    </row>
    <row r="57" spans="1:15">
      <c r="A57">
        <v>55</v>
      </c>
      <c r="B57" t="s">
        <v>151</v>
      </c>
      <c r="C57">
        <v>93</v>
      </c>
      <c r="D57">
        <v>0.2</v>
      </c>
      <c r="E57">
        <v>0</v>
      </c>
      <c r="F57">
        <v>60</v>
      </c>
      <c r="G57" t="s">
        <v>89</v>
      </c>
      <c r="H57">
        <v>34</v>
      </c>
      <c r="I57" t="s">
        <v>33</v>
      </c>
      <c r="J57" t="s">
        <v>16</v>
      </c>
      <c r="K57" t="s">
        <v>90</v>
      </c>
      <c r="L57" t="s">
        <v>18</v>
      </c>
      <c r="M57">
        <v>0</v>
      </c>
      <c r="N57" t="s">
        <v>91</v>
      </c>
      <c r="O57" t="s">
        <v>39</v>
      </c>
    </row>
    <row r="58" spans="1:15">
      <c r="A58">
        <v>56</v>
      </c>
      <c r="B58" t="s">
        <v>92</v>
      </c>
      <c r="C58">
        <v>98</v>
      </c>
      <c r="D58">
        <v>0.2</v>
      </c>
      <c r="E58">
        <v>0</v>
      </c>
      <c r="F58">
        <v>70</v>
      </c>
      <c r="G58" t="s">
        <v>93</v>
      </c>
      <c r="H58">
        <v>0</v>
      </c>
      <c r="I58" t="s">
        <v>15</v>
      </c>
      <c r="J58" t="s">
        <v>16</v>
      </c>
      <c r="K58" t="s">
        <v>94</v>
      </c>
      <c r="L58" t="s">
        <v>95</v>
      </c>
      <c r="M58">
        <v>0</v>
      </c>
      <c r="N58" t="s">
        <v>96</v>
      </c>
      <c r="O58" t="s">
        <v>39</v>
      </c>
    </row>
    <row r="59" spans="1:15">
      <c r="A59">
        <v>57</v>
      </c>
      <c r="B59" t="s">
        <v>97</v>
      </c>
      <c r="C59">
        <v>98</v>
      </c>
      <c r="D59">
        <v>0.2</v>
      </c>
      <c r="E59">
        <v>0.3</v>
      </c>
      <c r="F59">
        <v>70</v>
      </c>
      <c r="G59" t="s">
        <v>93</v>
      </c>
      <c r="H59">
        <v>1</v>
      </c>
      <c r="I59" t="s">
        <v>22</v>
      </c>
      <c r="J59" t="s">
        <v>22</v>
      </c>
      <c r="K59" t="s">
        <v>94</v>
      </c>
      <c r="L59" t="s">
        <v>95</v>
      </c>
      <c r="M59">
        <v>7.62</v>
      </c>
      <c r="N59" t="s">
        <v>96</v>
      </c>
      <c r="O59" t="s">
        <v>39</v>
      </c>
    </row>
    <row r="60" spans="1:15">
      <c r="A60">
        <v>58</v>
      </c>
      <c r="B60" t="s">
        <v>98</v>
      </c>
      <c r="C60">
        <v>98</v>
      </c>
      <c r="D60">
        <v>0.2</v>
      </c>
      <c r="E60">
        <v>0.15</v>
      </c>
      <c r="F60">
        <v>70</v>
      </c>
      <c r="G60" t="s">
        <v>93</v>
      </c>
      <c r="H60">
        <v>2</v>
      </c>
      <c r="I60" t="s">
        <v>24</v>
      </c>
      <c r="J60" t="s">
        <v>24</v>
      </c>
      <c r="K60" t="s">
        <v>94</v>
      </c>
      <c r="L60" t="s">
        <v>95</v>
      </c>
      <c r="M60">
        <v>3.81</v>
      </c>
      <c r="N60" t="s">
        <v>96</v>
      </c>
      <c r="O60" t="s">
        <v>39</v>
      </c>
    </row>
    <row r="61" spans="1:15">
      <c r="A61">
        <v>59</v>
      </c>
      <c r="B61" t="s">
        <v>99</v>
      </c>
      <c r="C61">
        <v>98</v>
      </c>
      <c r="D61">
        <v>0.2</v>
      </c>
      <c r="E61">
        <v>0.05</v>
      </c>
      <c r="F61">
        <v>70</v>
      </c>
      <c r="G61" t="s">
        <v>93</v>
      </c>
      <c r="H61">
        <v>3</v>
      </c>
      <c r="I61" t="s">
        <v>26</v>
      </c>
      <c r="J61" t="s">
        <v>26</v>
      </c>
      <c r="K61" t="s">
        <v>94</v>
      </c>
      <c r="L61" t="s">
        <v>95</v>
      </c>
      <c r="M61">
        <v>1.27</v>
      </c>
      <c r="N61" t="s">
        <v>96</v>
      </c>
      <c r="O61" t="s">
        <v>39</v>
      </c>
    </row>
    <row r="62" spans="1:15">
      <c r="A62">
        <v>60</v>
      </c>
      <c r="B62" t="s">
        <v>100</v>
      </c>
      <c r="C62">
        <v>98</v>
      </c>
      <c r="D62">
        <v>0.2</v>
      </c>
      <c r="E62">
        <v>0</v>
      </c>
      <c r="F62">
        <v>70</v>
      </c>
      <c r="G62" t="s">
        <v>93</v>
      </c>
      <c r="H62">
        <v>4</v>
      </c>
      <c r="I62" t="s">
        <v>16</v>
      </c>
      <c r="J62" t="s">
        <v>16</v>
      </c>
      <c r="K62" t="s">
        <v>94</v>
      </c>
      <c r="L62" t="s">
        <v>95</v>
      </c>
      <c r="M62">
        <v>0</v>
      </c>
      <c r="N62" t="s">
        <v>96</v>
      </c>
      <c r="O62" t="s">
        <v>39</v>
      </c>
    </row>
    <row r="63" spans="1:15">
      <c r="A63">
        <v>61</v>
      </c>
      <c r="B63" t="s">
        <v>101</v>
      </c>
      <c r="C63">
        <v>98</v>
      </c>
      <c r="D63">
        <v>0.2</v>
      </c>
      <c r="E63">
        <v>0</v>
      </c>
      <c r="F63">
        <v>70</v>
      </c>
      <c r="G63" t="s">
        <v>93</v>
      </c>
      <c r="H63">
        <v>14</v>
      </c>
      <c r="I63" t="s">
        <v>29</v>
      </c>
      <c r="J63" t="s">
        <v>16</v>
      </c>
      <c r="K63" t="s">
        <v>94</v>
      </c>
      <c r="L63" t="s">
        <v>95</v>
      </c>
      <c r="M63">
        <v>0</v>
      </c>
      <c r="N63" t="s">
        <v>96</v>
      </c>
      <c r="O63" t="s">
        <v>39</v>
      </c>
    </row>
    <row r="64" spans="1:15">
      <c r="A64">
        <v>62</v>
      </c>
      <c r="B64" t="s">
        <v>102</v>
      </c>
      <c r="C64">
        <v>98</v>
      </c>
      <c r="D64">
        <v>0.2</v>
      </c>
      <c r="E64">
        <v>0</v>
      </c>
      <c r="F64">
        <v>70</v>
      </c>
      <c r="G64" t="s">
        <v>93</v>
      </c>
      <c r="H64">
        <v>24</v>
      </c>
      <c r="I64" t="s">
        <v>31</v>
      </c>
      <c r="J64" t="s">
        <v>16</v>
      </c>
      <c r="K64" t="s">
        <v>94</v>
      </c>
      <c r="L64" t="s">
        <v>95</v>
      </c>
      <c r="M64">
        <v>0</v>
      </c>
      <c r="N64" t="s">
        <v>96</v>
      </c>
      <c r="O64" t="s">
        <v>39</v>
      </c>
    </row>
    <row r="65" spans="1:15">
      <c r="A65">
        <v>63</v>
      </c>
      <c r="B65" t="s">
        <v>103</v>
      </c>
      <c r="C65">
        <v>98</v>
      </c>
      <c r="D65">
        <v>0.2</v>
      </c>
      <c r="E65">
        <v>0</v>
      </c>
      <c r="F65">
        <v>70</v>
      </c>
      <c r="G65" t="s">
        <v>93</v>
      </c>
      <c r="H65">
        <v>34</v>
      </c>
      <c r="I65" t="s">
        <v>33</v>
      </c>
      <c r="J65" t="s">
        <v>16</v>
      </c>
      <c r="K65" t="s">
        <v>94</v>
      </c>
      <c r="L65" t="s">
        <v>95</v>
      </c>
      <c r="M65">
        <v>0</v>
      </c>
      <c r="N65" t="s">
        <v>96</v>
      </c>
      <c r="O65" t="s">
        <v>39</v>
      </c>
    </row>
    <row r="66" spans="1:15">
      <c r="A66">
        <v>64</v>
      </c>
      <c r="B66" t="s">
        <v>104</v>
      </c>
      <c r="C66">
        <v>98</v>
      </c>
      <c r="D66">
        <v>0.2</v>
      </c>
      <c r="E66">
        <v>0</v>
      </c>
      <c r="F66">
        <v>80</v>
      </c>
      <c r="G66" t="s">
        <v>105</v>
      </c>
      <c r="H66">
        <v>0</v>
      </c>
      <c r="I66" t="s">
        <v>15</v>
      </c>
      <c r="J66" t="s">
        <v>16</v>
      </c>
      <c r="K66" t="s">
        <v>94</v>
      </c>
      <c r="L66" t="s">
        <v>18</v>
      </c>
      <c r="M66">
        <v>0</v>
      </c>
      <c r="N66" t="s">
        <v>50</v>
      </c>
      <c r="O66" t="s">
        <v>39</v>
      </c>
    </row>
    <row r="67" spans="1:15">
      <c r="A67">
        <v>65</v>
      </c>
      <c r="B67" t="s">
        <v>106</v>
      </c>
      <c r="C67">
        <v>98</v>
      </c>
      <c r="D67">
        <v>0.2</v>
      </c>
      <c r="E67">
        <v>0.3</v>
      </c>
      <c r="F67">
        <v>80</v>
      </c>
      <c r="G67" t="s">
        <v>105</v>
      </c>
      <c r="H67">
        <v>1</v>
      </c>
      <c r="I67" t="s">
        <v>22</v>
      </c>
      <c r="J67" t="s">
        <v>22</v>
      </c>
      <c r="K67" t="s">
        <v>94</v>
      </c>
      <c r="L67" t="s">
        <v>18</v>
      </c>
      <c r="M67">
        <v>7.62</v>
      </c>
      <c r="N67" t="s">
        <v>50</v>
      </c>
      <c r="O67" t="s">
        <v>39</v>
      </c>
    </row>
    <row r="68" spans="1:15">
      <c r="A68">
        <v>66</v>
      </c>
      <c r="B68" t="s">
        <v>107</v>
      </c>
      <c r="C68">
        <v>98</v>
      </c>
      <c r="D68">
        <v>0.2</v>
      </c>
      <c r="E68">
        <v>0.15</v>
      </c>
      <c r="F68">
        <v>80</v>
      </c>
      <c r="G68" t="s">
        <v>105</v>
      </c>
      <c r="H68">
        <v>2</v>
      </c>
      <c r="I68" t="s">
        <v>24</v>
      </c>
      <c r="J68" t="s">
        <v>24</v>
      </c>
      <c r="K68" t="s">
        <v>94</v>
      </c>
      <c r="L68" t="s">
        <v>18</v>
      </c>
      <c r="M68">
        <v>3.81</v>
      </c>
      <c r="N68" t="s">
        <v>50</v>
      </c>
      <c r="O68" t="s">
        <v>39</v>
      </c>
    </row>
    <row r="69" spans="1:15">
      <c r="A69">
        <v>67</v>
      </c>
      <c r="B69" t="s">
        <v>108</v>
      </c>
      <c r="C69">
        <v>98</v>
      </c>
      <c r="D69">
        <v>0.2</v>
      </c>
      <c r="E69">
        <v>0.05</v>
      </c>
      <c r="F69">
        <v>80</v>
      </c>
      <c r="G69" t="s">
        <v>105</v>
      </c>
      <c r="H69">
        <v>3</v>
      </c>
      <c r="I69" t="s">
        <v>26</v>
      </c>
      <c r="J69" t="s">
        <v>26</v>
      </c>
      <c r="K69" t="s">
        <v>94</v>
      </c>
      <c r="L69" t="s">
        <v>18</v>
      </c>
      <c r="M69">
        <v>1.27</v>
      </c>
      <c r="N69" t="s">
        <v>50</v>
      </c>
      <c r="O69" t="s">
        <v>39</v>
      </c>
    </row>
    <row r="70" spans="1:15">
      <c r="A70">
        <v>68</v>
      </c>
      <c r="B70" t="s">
        <v>109</v>
      </c>
      <c r="C70">
        <v>98</v>
      </c>
      <c r="D70">
        <v>0.2</v>
      </c>
      <c r="E70">
        <v>0</v>
      </c>
      <c r="F70">
        <v>80</v>
      </c>
      <c r="G70" t="s">
        <v>105</v>
      </c>
      <c r="H70">
        <v>4</v>
      </c>
      <c r="I70" t="s">
        <v>16</v>
      </c>
      <c r="J70" t="s">
        <v>16</v>
      </c>
      <c r="K70" t="s">
        <v>94</v>
      </c>
      <c r="L70" t="s">
        <v>18</v>
      </c>
      <c r="M70">
        <v>0</v>
      </c>
      <c r="N70" t="s">
        <v>50</v>
      </c>
      <c r="O70" t="s">
        <v>39</v>
      </c>
    </row>
    <row r="71" spans="1:15">
      <c r="A71">
        <v>69</v>
      </c>
      <c r="B71" t="s">
        <v>110</v>
      </c>
      <c r="C71">
        <v>98</v>
      </c>
      <c r="D71">
        <v>0.2</v>
      </c>
      <c r="E71">
        <v>0</v>
      </c>
      <c r="F71">
        <v>80</v>
      </c>
      <c r="G71" t="s">
        <v>105</v>
      </c>
      <c r="H71">
        <v>14</v>
      </c>
      <c r="I71" t="s">
        <v>29</v>
      </c>
      <c r="J71" t="s">
        <v>16</v>
      </c>
      <c r="K71" t="s">
        <v>94</v>
      </c>
      <c r="L71" t="s">
        <v>18</v>
      </c>
      <c r="M71">
        <v>0</v>
      </c>
      <c r="N71" t="s">
        <v>50</v>
      </c>
      <c r="O71" t="s">
        <v>39</v>
      </c>
    </row>
    <row r="72" spans="1:15">
      <c r="A72">
        <v>70</v>
      </c>
      <c r="B72" t="s">
        <v>111</v>
      </c>
      <c r="C72">
        <v>98</v>
      </c>
      <c r="D72">
        <v>0.2</v>
      </c>
      <c r="E72">
        <v>0</v>
      </c>
      <c r="F72">
        <v>80</v>
      </c>
      <c r="G72" t="s">
        <v>105</v>
      </c>
      <c r="H72">
        <v>24</v>
      </c>
      <c r="I72" t="s">
        <v>31</v>
      </c>
      <c r="J72" t="s">
        <v>16</v>
      </c>
      <c r="K72" t="s">
        <v>94</v>
      </c>
      <c r="L72" t="s">
        <v>18</v>
      </c>
      <c r="M72">
        <v>0</v>
      </c>
      <c r="N72" t="s">
        <v>50</v>
      </c>
      <c r="O72" t="s">
        <v>39</v>
      </c>
    </row>
    <row r="73" spans="1:15">
      <c r="A73">
        <v>71</v>
      </c>
      <c r="B73" t="s">
        <v>112</v>
      </c>
      <c r="C73">
        <v>98</v>
      </c>
      <c r="D73">
        <v>0.2</v>
      </c>
      <c r="E73">
        <v>0</v>
      </c>
      <c r="F73">
        <v>80</v>
      </c>
      <c r="G73" t="s">
        <v>105</v>
      </c>
      <c r="H73">
        <v>34</v>
      </c>
      <c r="I73" t="s">
        <v>33</v>
      </c>
      <c r="J73" t="s">
        <v>16</v>
      </c>
      <c r="K73" t="s">
        <v>94</v>
      </c>
      <c r="L73" t="s">
        <v>18</v>
      </c>
      <c r="M73">
        <v>0</v>
      </c>
      <c r="N73" t="s">
        <v>50</v>
      </c>
      <c r="O73" t="s">
        <v>39</v>
      </c>
    </row>
    <row r="74" spans="1:15">
      <c r="A74">
        <v>72</v>
      </c>
      <c r="B74" t="s">
        <v>113</v>
      </c>
      <c r="C74">
        <v>78</v>
      </c>
      <c r="D74">
        <v>0.2</v>
      </c>
      <c r="E74">
        <v>0</v>
      </c>
      <c r="F74">
        <v>90</v>
      </c>
      <c r="G74" t="s">
        <v>114</v>
      </c>
      <c r="H74">
        <v>0</v>
      </c>
      <c r="I74" t="s">
        <v>15</v>
      </c>
      <c r="J74" t="s">
        <v>16</v>
      </c>
      <c r="K74" t="s">
        <v>115</v>
      </c>
      <c r="L74" t="s">
        <v>18</v>
      </c>
      <c r="M74">
        <v>0</v>
      </c>
      <c r="N74" t="s">
        <v>50</v>
      </c>
      <c r="O74" t="s">
        <v>39</v>
      </c>
    </row>
    <row r="75" spans="1:15">
      <c r="A75">
        <v>73</v>
      </c>
      <c r="B75" t="s">
        <v>116</v>
      </c>
      <c r="C75">
        <v>30</v>
      </c>
      <c r="D75">
        <v>0.2</v>
      </c>
      <c r="E75">
        <v>0.3</v>
      </c>
      <c r="F75">
        <v>90</v>
      </c>
      <c r="G75" t="s">
        <v>114</v>
      </c>
      <c r="H75">
        <v>1</v>
      </c>
      <c r="I75" t="s">
        <v>22</v>
      </c>
      <c r="J75" t="s">
        <v>22</v>
      </c>
      <c r="K75" t="s">
        <v>115</v>
      </c>
      <c r="L75" t="s">
        <v>18</v>
      </c>
      <c r="M75">
        <v>7.62</v>
      </c>
      <c r="N75" t="s">
        <v>50</v>
      </c>
      <c r="O75" t="s">
        <v>39</v>
      </c>
    </row>
    <row r="76" spans="1:15">
      <c r="A76">
        <v>74</v>
      </c>
      <c r="B76" t="s">
        <v>117</v>
      </c>
      <c r="C76">
        <v>58</v>
      </c>
      <c r="D76">
        <v>0.2</v>
      </c>
      <c r="E76">
        <v>0.15</v>
      </c>
      <c r="F76">
        <v>90</v>
      </c>
      <c r="G76" t="s">
        <v>114</v>
      </c>
      <c r="H76">
        <v>2</v>
      </c>
      <c r="I76" t="s">
        <v>24</v>
      </c>
      <c r="J76" t="s">
        <v>24</v>
      </c>
      <c r="K76" t="s">
        <v>115</v>
      </c>
      <c r="L76" t="s">
        <v>18</v>
      </c>
      <c r="M76">
        <v>3.81</v>
      </c>
      <c r="N76" t="s">
        <v>50</v>
      </c>
      <c r="O76" t="s">
        <v>39</v>
      </c>
    </row>
    <row r="77" spans="1:15">
      <c r="A77">
        <v>75</v>
      </c>
      <c r="B77" t="s">
        <v>118</v>
      </c>
      <c r="C77">
        <v>71</v>
      </c>
      <c r="D77">
        <v>0.2</v>
      </c>
      <c r="E77">
        <v>0.05</v>
      </c>
      <c r="F77">
        <v>90</v>
      </c>
      <c r="G77" t="s">
        <v>114</v>
      </c>
      <c r="H77">
        <v>3</v>
      </c>
      <c r="I77" t="s">
        <v>26</v>
      </c>
      <c r="J77" t="s">
        <v>26</v>
      </c>
      <c r="K77" t="s">
        <v>115</v>
      </c>
      <c r="L77" t="s">
        <v>18</v>
      </c>
      <c r="M77">
        <v>1.27</v>
      </c>
      <c r="N77" t="s">
        <v>50</v>
      </c>
      <c r="O77" t="s">
        <v>39</v>
      </c>
    </row>
    <row r="78" spans="1:15">
      <c r="A78">
        <v>76</v>
      </c>
      <c r="B78" t="s">
        <v>119</v>
      </c>
      <c r="C78">
        <v>78</v>
      </c>
      <c r="D78">
        <v>0.2</v>
      </c>
      <c r="E78">
        <v>0</v>
      </c>
      <c r="F78">
        <v>90</v>
      </c>
      <c r="G78" t="s">
        <v>114</v>
      </c>
      <c r="H78">
        <v>4</v>
      </c>
      <c r="I78" t="s">
        <v>16</v>
      </c>
      <c r="J78" t="s">
        <v>16</v>
      </c>
      <c r="K78" t="s">
        <v>115</v>
      </c>
      <c r="L78" t="s">
        <v>18</v>
      </c>
      <c r="M78">
        <v>0</v>
      </c>
      <c r="N78" t="s">
        <v>50</v>
      </c>
      <c r="O78" t="s">
        <v>39</v>
      </c>
    </row>
    <row r="79" spans="1:15">
      <c r="A79">
        <v>77</v>
      </c>
      <c r="B79" t="s">
        <v>120</v>
      </c>
      <c r="C79">
        <v>78</v>
      </c>
      <c r="D79">
        <v>0.2</v>
      </c>
      <c r="E79">
        <v>0</v>
      </c>
      <c r="F79">
        <v>90</v>
      </c>
      <c r="G79" t="s">
        <v>114</v>
      </c>
      <c r="H79">
        <v>14</v>
      </c>
      <c r="I79" t="s">
        <v>29</v>
      </c>
      <c r="J79" t="s">
        <v>16</v>
      </c>
      <c r="K79" t="s">
        <v>115</v>
      </c>
      <c r="L79" t="s">
        <v>18</v>
      </c>
      <c r="M79">
        <v>0</v>
      </c>
      <c r="N79" t="s">
        <v>50</v>
      </c>
      <c r="O79" t="s">
        <v>39</v>
      </c>
    </row>
    <row r="80" spans="1:15">
      <c r="A80">
        <v>78</v>
      </c>
      <c r="B80" t="s">
        <v>121</v>
      </c>
      <c r="C80">
        <v>78</v>
      </c>
      <c r="D80">
        <v>0.2</v>
      </c>
      <c r="E80">
        <v>0</v>
      </c>
      <c r="F80">
        <v>90</v>
      </c>
      <c r="G80" t="s">
        <v>114</v>
      </c>
      <c r="H80">
        <v>24</v>
      </c>
      <c r="I80" t="s">
        <v>31</v>
      </c>
      <c r="J80" t="s">
        <v>16</v>
      </c>
      <c r="K80" t="s">
        <v>115</v>
      </c>
      <c r="L80" t="s">
        <v>18</v>
      </c>
      <c r="M80">
        <v>0</v>
      </c>
      <c r="N80" t="s">
        <v>50</v>
      </c>
      <c r="O80" t="s">
        <v>39</v>
      </c>
    </row>
    <row r="81" spans="1:15">
      <c r="A81">
        <v>79</v>
      </c>
      <c r="B81" t="s">
        <v>122</v>
      </c>
      <c r="C81">
        <v>78</v>
      </c>
      <c r="D81">
        <v>0.2</v>
      </c>
      <c r="E81">
        <v>0</v>
      </c>
      <c r="F81">
        <v>90</v>
      </c>
      <c r="G81" t="s">
        <v>114</v>
      </c>
      <c r="H81">
        <v>34</v>
      </c>
      <c r="I81" t="s">
        <v>33</v>
      </c>
      <c r="J81" t="s">
        <v>16</v>
      </c>
      <c r="K81" t="s">
        <v>115</v>
      </c>
      <c r="L81" t="s">
        <v>18</v>
      </c>
      <c r="M81">
        <v>0</v>
      </c>
      <c r="N81" t="s">
        <v>50</v>
      </c>
      <c r="O81" t="s">
        <v>39</v>
      </c>
    </row>
    <row r="82" spans="1:15">
      <c r="A82">
        <v>80</v>
      </c>
      <c r="B82" t="s">
        <v>123</v>
      </c>
      <c r="C82">
        <v>78</v>
      </c>
      <c r="D82">
        <v>0.2</v>
      </c>
      <c r="E82">
        <v>0</v>
      </c>
      <c r="F82">
        <v>95</v>
      </c>
      <c r="G82" t="s">
        <v>124</v>
      </c>
      <c r="H82">
        <v>0</v>
      </c>
      <c r="I82" t="s">
        <v>15</v>
      </c>
      <c r="J82" t="s">
        <v>16</v>
      </c>
      <c r="K82" t="s">
        <v>125</v>
      </c>
      <c r="L82" t="s">
        <v>37</v>
      </c>
      <c r="M82">
        <v>0</v>
      </c>
      <c r="N82" t="s">
        <v>126</v>
      </c>
      <c r="O82" t="s">
        <v>39</v>
      </c>
    </row>
    <row r="83" spans="1:15">
      <c r="A83">
        <v>81</v>
      </c>
      <c r="B83" t="s">
        <v>127</v>
      </c>
      <c r="C83">
        <v>30</v>
      </c>
      <c r="D83">
        <v>0.2</v>
      </c>
      <c r="E83">
        <v>0.3</v>
      </c>
      <c r="F83">
        <v>95</v>
      </c>
      <c r="G83" t="s">
        <v>124</v>
      </c>
      <c r="H83">
        <v>1</v>
      </c>
      <c r="I83" t="s">
        <v>22</v>
      </c>
      <c r="J83" t="s">
        <v>22</v>
      </c>
      <c r="K83" t="s">
        <v>125</v>
      </c>
      <c r="L83" t="s">
        <v>37</v>
      </c>
      <c r="M83">
        <v>7.62</v>
      </c>
      <c r="N83" t="s">
        <v>126</v>
      </c>
      <c r="O83" t="s">
        <v>39</v>
      </c>
    </row>
    <row r="84" spans="1:15">
      <c r="A84">
        <v>82</v>
      </c>
      <c r="B84" t="s">
        <v>128</v>
      </c>
      <c r="C84">
        <v>58</v>
      </c>
      <c r="D84">
        <v>0.2</v>
      </c>
      <c r="E84">
        <v>0.15</v>
      </c>
      <c r="F84">
        <v>95</v>
      </c>
      <c r="G84" t="s">
        <v>124</v>
      </c>
      <c r="H84">
        <v>2</v>
      </c>
      <c r="I84" t="s">
        <v>24</v>
      </c>
      <c r="J84" t="s">
        <v>24</v>
      </c>
      <c r="K84" t="s">
        <v>125</v>
      </c>
      <c r="L84" t="s">
        <v>37</v>
      </c>
      <c r="M84">
        <v>3.81</v>
      </c>
      <c r="N84" t="s">
        <v>126</v>
      </c>
      <c r="O84" t="s">
        <v>39</v>
      </c>
    </row>
    <row r="85" spans="1:15">
      <c r="A85">
        <v>83</v>
      </c>
      <c r="B85" t="s">
        <v>129</v>
      </c>
      <c r="C85">
        <v>71</v>
      </c>
      <c r="D85">
        <v>0.2</v>
      </c>
      <c r="E85">
        <v>0.05</v>
      </c>
      <c r="F85">
        <v>95</v>
      </c>
      <c r="G85" t="s">
        <v>124</v>
      </c>
      <c r="H85">
        <v>3</v>
      </c>
      <c r="I85" t="s">
        <v>26</v>
      </c>
      <c r="J85" t="s">
        <v>26</v>
      </c>
      <c r="K85" t="s">
        <v>125</v>
      </c>
      <c r="L85" t="s">
        <v>37</v>
      </c>
      <c r="M85">
        <v>1.27</v>
      </c>
      <c r="N85" t="s">
        <v>126</v>
      </c>
      <c r="O85" t="s">
        <v>39</v>
      </c>
    </row>
    <row r="86" spans="1:15">
      <c r="A86">
        <v>84</v>
      </c>
      <c r="B86" t="s">
        <v>130</v>
      </c>
      <c r="C86">
        <v>78</v>
      </c>
      <c r="D86">
        <v>0.2</v>
      </c>
      <c r="E86">
        <v>0</v>
      </c>
      <c r="F86">
        <v>95</v>
      </c>
      <c r="G86" t="s">
        <v>124</v>
      </c>
      <c r="H86">
        <v>4</v>
      </c>
      <c r="I86" t="s">
        <v>16</v>
      </c>
      <c r="J86" t="s">
        <v>16</v>
      </c>
      <c r="K86" t="s">
        <v>125</v>
      </c>
      <c r="L86" t="s">
        <v>37</v>
      </c>
      <c r="M86">
        <v>0</v>
      </c>
      <c r="N86" t="s">
        <v>126</v>
      </c>
      <c r="O86" t="s">
        <v>39</v>
      </c>
    </row>
    <row r="87" spans="1:15">
      <c r="A87">
        <v>85</v>
      </c>
      <c r="B87" t="s">
        <v>131</v>
      </c>
      <c r="C87">
        <v>78</v>
      </c>
      <c r="D87">
        <v>0.2</v>
      </c>
      <c r="E87">
        <v>0</v>
      </c>
      <c r="F87">
        <v>95</v>
      </c>
      <c r="G87" t="s">
        <v>124</v>
      </c>
      <c r="H87">
        <v>14</v>
      </c>
      <c r="I87" t="s">
        <v>29</v>
      </c>
      <c r="J87" t="s">
        <v>16</v>
      </c>
      <c r="K87" t="s">
        <v>125</v>
      </c>
      <c r="L87" t="s">
        <v>37</v>
      </c>
      <c r="M87">
        <v>0</v>
      </c>
      <c r="N87" t="s">
        <v>126</v>
      </c>
      <c r="O87" t="s">
        <v>39</v>
      </c>
    </row>
    <row r="88" spans="1:15">
      <c r="A88">
        <v>86</v>
      </c>
      <c r="B88" t="s">
        <v>132</v>
      </c>
      <c r="C88">
        <v>78</v>
      </c>
      <c r="D88">
        <v>0.2</v>
      </c>
      <c r="E88">
        <v>0</v>
      </c>
      <c r="F88">
        <v>95</v>
      </c>
      <c r="G88" t="s">
        <v>124</v>
      </c>
      <c r="H88">
        <v>24</v>
      </c>
      <c r="I88" t="s">
        <v>31</v>
      </c>
      <c r="J88" t="s">
        <v>16</v>
      </c>
      <c r="K88" t="s">
        <v>125</v>
      </c>
      <c r="L88" t="s">
        <v>37</v>
      </c>
      <c r="M88">
        <v>0</v>
      </c>
      <c r="N88" t="s">
        <v>126</v>
      </c>
      <c r="O88" t="s">
        <v>39</v>
      </c>
    </row>
    <row r="89" spans="1:15">
      <c r="A89">
        <v>87</v>
      </c>
      <c r="B89" t="s">
        <v>133</v>
      </c>
      <c r="C89">
        <v>78</v>
      </c>
      <c r="D89">
        <v>0.2</v>
      </c>
      <c r="E89">
        <v>0</v>
      </c>
      <c r="F89">
        <v>95</v>
      </c>
      <c r="G89" t="s">
        <v>124</v>
      </c>
      <c r="H89">
        <v>34</v>
      </c>
      <c r="I89" t="s">
        <v>33</v>
      </c>
      <c r="J89" t="s">
        <v>16</v>
      </c>
      <c r="K89" t="s">
        <v>125</v>
      </c>
      <c r="L89" t="s">
        <v>37</v>
      </c>
      <c r="M89">
        <v>0</v>
      </c>
      <c r="N89" t="s">
        <v>126</v>
      </c>
      <c r="O89" t="s">
        <v>39</v>
      </c>
    </row>
    <row r="90" spans="1:15">
      <c r="A90">
        <v>88</v>
      </c>
      <c r="B90" t="s">
        <v>134</v>
      </c>
      <c r="C90">
        <v>84</v>
      </c>
      <c r="D90">
        <v>0.2</v>
      </c>
      <c r="E90">
        <v>0</v>
      </c>
      <c r="F90">
        <v>100</v>
      </c>
      <c r="G90" t="s">
        <v>135</v>
      </c>
      <c r="H90">
        <v>0</v>
      </c>
      <c r="I90" t="s">
        <v>15</v>
      </c>
      <c r="J90" t="s">
        <v>16</v>
      </c>
      <c r="K90" t="s">
        <v>60</v>
      </c>
      <c r="L90" t="s">
        <v>95</v>
      </c>
      <c r="M90">
        <v>0</v>
      </c>
      <c r="N90" t="s">
        <v>136</v>
      </c>
      <c r="O90" t="s">
        <v>39</v>
      </c>
    </row>
    <row r="91" spans="1:15">
      <c r="A91">
        <v>89</v>
      </c>
      <c r="B91" t="s">
        <v>137</v>
      </c>
      <c r="C91">
        <v>50</v>
      </c>
      <c r="D91">
        <v>0.2</v>
      </c>
      <c r="E91">
        <v>0.3</v>
      </c>
      <c r="F91">
        <v>100</v>
      </c>
      <c r="G91" t="s">
        <v>135</v>
      </c>
      <c r="H91">
        <v>1</v>
      </c>
      <c r="I91" t="s">
        <v>22</v>
      </c>
      <c r="J91" t="s">
        <v>22</v>
      </c>
      <c r="K91" t="s">
        <v>60</v>
      </c>
      <c r="L91" t="s">
        <v>95</v>
      </c>
      <c r="M91">
        <v>7.62</v>
      </c>
      <c r="N91" t="s">
        <v>136</v>
      </c>
      <c r="O91" t="s">
        <v>39</v>
      </c>
    </row>
    <row r="92" spans="1:15">
      <c r="A92">
        <v>90</v>
      </c>
      <c r="B92" t="s">
        <v>138</v>
      </c>
      <c r="C92">
        <v>69</v>
      </c>
      <c r="D92">
        <v>0.2</v>
      </c>
      <c r="E92">
        <v>0.15</v>
      </c>
      <c r="F92">
        <v>100</v>
      </c>
      <c r="G92" t="s">
        <v>135</v>
      </c>
      <c r="H92">
        <v>2</v>
      </c>
      <c r="I92" t="s">
        <v>24</v>
      </c>
      <c r="J92" t="s">
        <v>24</v>
      </c>
      <c r="K92" t="s">
        <v>60</v>
      </c>
      <c r="L92" t="s">
        <v>95</v>
      </c>
      <c r="M92">
        <v>3.81</v>
      </c>
      <c r="N92" t="s">
        <v>136</v>
      </c>
      <c r="O92" t="s">
        <v>39</v>
      </c>
    </row>
    <row r="93" spans="1:15">
      <c r="A93">
        <v>91</v>
      </c>
      <c r="B93" t="s">
        <v>139</v>
      </c>
      <c r="C93">
        <v>79</v>
      </c>
      <c r="D93">
        <v>0.2</v>
      </c>
      <c r="E93">
        <v>0.05</v>
      </c>
      <c r="F93">
        <v>100</v>
      </c>
      <c r="G93" t="s">
        <v>135</v>
      </c>
      <c r="H93">
        <v>3</v>
      </c>
      <c r="I93" t="s">
        <v>26</v>
      </c>
      <c r="J93" t="s">
        <v>26</v>
      </c>
      <c r="K93" t="s">
        <v>60</v>
      </c>
      <c r="L93" t="s">
        <v>95</v>
      </c>
      <c r="M93">
        <v>1.27</v>
      </c>
      <c r="N93" t="s">
        <v>136</v>
      </c>
      <c r="O93" t="s">
        <v>39</v>
      </c>
    </row>
    <row r="94" spans="1:15">
      <c r="A94">
        <v>92</v>
      </c>
      <c r="B94" t="s">
        <v>140</v>
      </c>
      <c r="C94">
        <v>84</v>
      </c>
      <c r="D94">
        <v>0.2</v>
      </c>
      <c r="E94">
        <v>0</v>
      </c>
      <c r="F94">
        <v>100</v>
      </c>
      <c r="G94" t="s">
        <v>135</v>
      </c>
      <c r="H94">
        <v>4</v>
      </c>
      <c r="I94" t="s">
        <v>16</v>
      </c>
      <c r="J94" t="s">
        <v>16</v>
      </c>
      <c r="K94" t="s">
        <v>60</v>
      </c>
      <c r="L94" t="s">
        <v>95</v>
      </c>
      <c r="M94">
        <v>0</v>
      </c>
      <c r="N94" t="s">
        <v>136</v>
      </c>
      <c r="O94" t="s">
        <v>39</v>
      </c>
    </row>
    <row r="95" spans="1:15">
      <c r="A95">
        <v>93</v>
      </c>
      <c r="B95" t="s">
        <v>141</v>
      </c>
      <c r="C95">
        <v>84</v>
      </c>
      <c r="D95">
        <v>0.2</v>
      </c>
      <c r="E95">
        <v>0</v>
      </c>
      <c r="F95">
        <v>100</v>
      </c>
      <c r="G95" t="s">
        <v>135</v>
      </c>
      <c r="H95">
        <v>14</v>
      </c>
      <c r="I95" t="s">
        <v>29</v>
      </c>
      <c r="J95" t="s">
        <v>16</v>
      </c>
      <c r="K95" t="s">
        <v>60</v>
      </c>
      <c r="L95" t="s">
        <v>95</v>
      </c>
      <c r="M95">
        <v>0</v>
      </c>
      <c r="N95" t="s">
        <v>136</v>
      </c>
      <c r="O95" t="s">
        <v>39</v>
      </c>
    </row>
    <row r="96" spans="1:15">
      <c r="A96">
        <v>94</v>
      </c>
      <c r="B96" t="s">
        <v>142</v>
      </c>
      <c r="C96">
        <v>84</v>
      </c>
      <c r="D96">
        <v>0.2</v>
      </c>
      <c r="E96">
        <v>0</v>
      </c>
      <c r="F96">
        <v>100</v>
      </c>
      <c r="G96" t="s">
        <v>135</v>
      </c>
      <c r="H96">
        <v>24</v>
      </c>
      <c r="I96" t="s">
        <v>31</v>
      </c>
      <c r="J96" t="s">
        <v>16</v>
      </c>
      <c r="K96" t="s">
        <v>60</v>
      </c>
      <c r="L96" t="s">
        <v>95</v>
      </c>
      <c r="M96">
        <v>0</v>
      </c>
      <c r="N96" t="s">
        <v>136</v>
      </c>
      <c r="O96" t="s">
        <v>39</v>
      </c>
    </row>
    <row r="97" spans="1:15">
      <c r="A97">
        <v>95</v>
      </c>
      <c r="B97" t="s">
        <v>143</v>
      </c>
      <c r="C97">
        <v>84</v>
      </c>
      <c r="D97">
        <v>0.2</v>
      </c>
      <c r="E97">
        <v>0</v>
      </c>
      <c r="F97">
        <v>100</v>
      </c>
      <c r="G97" t="s">
        <v>135</v>
      </c>
      <c r="H97">
        <v>34</v>
      </c>
      <c r="I97" t="s">
        <v>33</v>
      </c>
      <c r="J97" t="s">
        <v>16</v>
      </c>
      <c r="K97" t="s">
        <v>60</v>
      </c>
      <c r="L97" t="s">
        <v>95</v>
      </c>
      <c r="M97">
        <v>0</v>
      </c>
      <c r="N97" t="s">
        <v>136</v>
      </c>
      <c r="O9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63ED-20FF-4219-9008-D63DF581400D}">
  <dimension ref="A1:D32"/>
  <sheetViews>
    <sheetView workbookViewId="0">
      <selection activeCell="B1" sqref="B1"/>
    </sheetView>
  </sheetViews>
  <sheetFormatPr defaultRowHeight="14.25"/>
  <cols>
    <col min="1" max="1" width="21.75" bestFit="1" customWidth="1"/>
  </cols>
  <sheetData>
    <row r="1" spans="1:4">
      <c r="A1" t="s">
        <v>15</v>
      </c>
      <c r="B1">
        <f>_xlfn.XLOOKUP(A1, Sheet1!B:B, Sheet1!C:C)</f>
        <v>75</v>
      </c>
      <c r="C1">
        <f>_xlfn.XLOOKUP(A1, Sheet1!B:B, Sheet1!D:D)</f>
        <v>0.1</v>
      </c>
      <c r="D1">
        <f>_xlfn.XLOOKUP(A1, Sheet1!B:B, Sheet1!E:E)</f>
        <v>0.12</v>
      </c>
    </row>
    <row r="2" spans="1:4">
      <c r="A2" t="s">
        <v>25</v>
      </c>
      <c r="B2">
        <f>_xlfn.XLOOKUP(A2, Sheet1!B:B, Sheet1!C:C)</f>
        <v>75</v>
      </c>
      <c r="C2">
        <f>_xlfn.XLOOKUP(A2, Sheet1!B:B, Sheet1!D:D)</f>
        <v>0.1</v>
      </c>
      <c r="D2">
        <f>_xlfn.XLOOKUP(A2, Sheet1!B:B, Sheet1!E:E)</f>
        <v>0.12</v>
      </c>
    </row>
    <row r="3" spans="1:4">
      <c r="A3" t="s">
        <v>27</v>
      </c>
      <c r="B3">
        <f>_xlfn.XLOOKUP(A3, Sheet1!B:B, Sheet1!C:C)</f>
        <v>75</v>
      </c>
      <c r="C3">
        <f>_xlfn.XLOOKUP(A3, Sheet1!B:B, Sheet1!D:D)</f>
        <v>0.1</v>
      </c>
      <c r="D3">
        <f>_xlfn.XLOOKUP(A3, Sheet1!B:B, Sheet1!E:E)</f>
        <v>0.12</v>
      </c>
    </row>
    <row r="4" spans="1:4">
      <c r="A4" t="s">
        <v>23</v>
      </c>
      <c r="B4">
        <f>_xlfn.XLOOKUP(A4, Sheet1!B:B, Sheet1!C:C)</f>
        <v>75</v>
      </c>
      <c r="C4">
        <f>_xlfn.XLOOKUP(A4, Sheet1!B:B, Sheet1!D:D)</f>
        <v>0.1</v>
      </c>
      <c r="D4">
        <f>_xlfn.XLOOKUP(A4, Sheet1!B:B, Sheet1!E:E)</f>
        <v>0.12</v>
      </c>
    </row>
    <row r="5" spans="1:4">
      <c r="A5" t="s">
        <v>144</v>
      </c>
      <c r="B5">
        <f>_xlfn.XLOOKUP(A5, Sheet1!B:B, Sheet1!C:C)</f>
        <v>93</v>
      </c>
      <c r="C5">
        <f>_xlfn.XLOOKUP(A5, Sheet1!B:B, Sheet1!D:D)</f>
        <v>0.2</v>
      </c>
      <c r="D5">
        <f>_xlfn.XLOOKUP(A5, Sheet1!B:B, Sheet1!E:E)</f>
        <v>0</v>
      </c>
    </row>
    <row r="6" spans="1:4">
      <c r="A6" t="s">
        <v>146</v>
      </c>
      <c r="B6">
        <f>_xlfn.XLOOKUP(A6, Sheet1!B:B, Sheet1!C:C)</f>
        <v>91</v>
      </c>
      <c r="C6">
        <f>_xlfn.XLOOKUP(A6, Sheet1!B:B, Sheet1!D:D)</f>
        <v>0.2</v>
      </c>
      <c r="D6">
        <f>_xlfn.XLOOKUP(A6, Sheet1!B:B, Sheet1!E:E)</f>
        <v>0.05</v>
      </c>
    </row>
    <row r="7" spans="1:4">
      <c r="A7" t="s">
        <v>145</v>
      </c>
      <c r="B7">
        <f>_xlfn.XLOOKUP(A7, Sheet1!B:B, Sheet1!C:C)</f>
        <v>93</v>
      </c>
      <c r="C7">
        <f>_xlfn.XLOOKUP(A7, Sheet1!B:B, Sheet1!D:D)</f>
        <v>0.2</v>
      </c>
      <c r="D7">
        <f>_xlfn.XLOOKUP(A7, Sheet1!B:B, Sheet1!E:E)</f>
        <v>0</v>
      </c>
    </row>
    <row r="8" spans="1:4">
      <c r="A8" t="s">
        <v>147</v>
      </c>
      <c r="B8">
        <f>_xlfn.XLOOKUP(A8, Sheet1!B:B, Sheet1!C:C)</f>
        <v>86</v>
      </c>
      <c r="C8">
        <f>_xlfn.XLOOKUP(A8, Sheet1!B:B, Sheet1!D:D)</f>
        <v>0.2</v>
      </c>
      <c r="D8">
        <f>_xlfn.XLOOKUP(A8, Sheet1!B:B, Sheet1!E:E)</f>
        <v>0.15</v>
      </c>
    </row>
    <row r="9" spans="1:4">
      <c r="A9" t="s">
        <v>34</v>
      </c>
      <c r="B9">
        <f>_xlfn.XLOOKUP(A9, Sheet1!B:B, Sheet1!C:C)</f>
        <v>79</v>
      </c>
      <c r="C9">
        <f>_xlfn.XLOOKUP(A9, Sheet1!B:B, Sheet1!D:D)</f>
        <v>0.2</v>
      </c>
      <c r="D9">
        <f>_xlfn.XLOOKUP(A9, Sheet1!B:B, Sheet1!E:E)</f>
        <v>0</v>
      </c>
    </row>
    <row r="10" spans="1:4">
      <c r="A10" t="s">
        <v>42</v>
      </c>
      <c r="B10">
        <f>_xlfn.XLOOKUP(A10, Sheet1!B:B, Sheet1!C:C)</f>
        <v>73</v>
      </c>
      <c r="C10">
        <f>_xlfn.XLOOKUP(A10, Sheet1!B:B, Sheet1!D:D)</f>
        <v>0.2</v>
      </c>
      <c r="D10">
        <f>_xlfn.XLOOKUP(A10, Sheet1!B:B, Sheet1!E:E)</f>
        <v>0.05</v>
      </c>
    </row>
    <row r="11" spans="1:4">
      <c r="A11" t="s">
        <v>43</v>
      </c>
      <c r="B11">
        <f>_xlfn.XLOOKUP(A11, Sheet1!B:B, Sheet1!C:C)</f>
        <v>79</v>
      </c>
      <c r="C11">
        <f>_xlfn.XLOOKUP(A11, Sheet1!B:B, Sheet1!D:D)</f>
        <v>0.2</v>
      </c>
      <c r="D11">
        <f>_xlfn.XLOOKUP(A11, Sheet1!B:B, Sheet1!E:E)</f>
        <v>0</v>
      </c>
    </row>
    <row r="12" spans="1:4">
      <c r="A12" t="s">
        <v>41</v>
      </c>
      <c r="B12">
        <f>_xlfn.XLOOKUP(A12, Sheet1!B:B, Sheet1!C:C)</f>
        <v>60</v>
      </c>
      <c r="C12">
        <f>_xlfn.XLOOKUP(A12, Sheet1!B:B, Sheet1!D:D)</f>
        <v>0.2</v>
      </c>
      <c r="D12">
        <f>_xlfn.XLOOKUP(A12, Sheet1!B:B, Sheet1!E:E)</f>
        <v>0.15</v>
      </c>
    </row>
    <row r="13" spans="1:4">
      <c r="A13" t="s">
        <v>47</v>
      </c>
      <c r="B13">
        <f>_xlfn.XLOOKUP(A13, Sheet1!B:B, Sheet1!C:C)</f>
        <v>86</v>
      </c>
      <c r="C13">
        <f>_xlfn.XLOOKUP(A13, Sheet1!B:B, Sheet1!D:D)</f>
        <v>0.2</v>
      </c>
      <c r="D13">
        <f>_xlfn.XLOOKUP(A13, Sheet1!B:B, Sheet1!E:E)</f>
        <v>0</v>
      </c>
    </row>
    <row r="14" spans="1:4">
      <c r="A14" t="s">
        <v>53</v>
      </c>
      <c r="B14">
        <f>_xlfn.XLOOKUP(A14, Sheet1!B:B, Sheet1!C:C)</f>
        <v>81</v>
      </c>
      <c r="C14">
        <f>_xlfn.XLOOKUP(A14, Sheet1!B:B, Sheet1!D:D)</f>
        <v>0.2</v>
      </c>
      <c r="D14">
        <f>_xlfn.XLOOKUP(A14, Sheet1!B:B, Sheet1!E:E)</f>
        <v>0.05</v>
      </c>
    </row>
    <row r="15" spans="1:4">
      <c r="A15" t="s">
        <v>54</v>
      </c>
      <c r="B15">
        <f>_xlfn.XLOOKUP(A15, Sheet1!B:B, Sheet1!C:C)</f>
        <v>86</v>
      </c>
      <c r="C15">
        <f>_xlfn.XLOOKUP(A15, Sheet1!B:B, Sheet1!D:D)</f>
        <v>0.2</v>
      </c>
      <c r="D15">
        <f>_xlfn.XLOOKUP(A15, Sheet1!B:B, Sheet1!E:E)</f>
        <v>0</v>
      </c>
    </row>
    <row r="16" spans="1:4">
      <c r="A16" t="s">
        <v>52</v>
      </c>
      <c r="B16">
        <f>_xlfn.XLOOKUP(A16, Sheet1!B:B, Sheet1!C:C)</f>
        <v>72</v>
      </c>
      <c r="C16">
        <f>_xlfn.XLOOKUP(A16, Sheet1!B:B, Sheet1!D:D)</f>
        <v>0.2</v>
      </c>
      <c r="D16">
        <f>_xlfn.XLOOKUP(A16, Sheet1!B:B, Sheet1!E:E)</f>
        <v>0.15</v>
      </c>
    </row>
    <row r="17" spans="1:4">
      <c r="A17" t="s">
        <v>68</v>
      </c>
      <c r="B17">
        <f>_xlfn.XLOOKUP(A17, Sheet1!B:B, Sheet1!C:C)</f>
        <v>89</v>
      </c>
      <c r="C17">
        <f>_xlfn.XLOOKUP(A17, Sheet1!B:B, Sheet1!D:D)</f>
        <v>0.2</v>
      </c>
      <c r="D17">
        <f>_xlfn.XLOOKUP(A17, Sheet1!B:B, Sheet1!E:E)</f>
        <v>0</v>
      </c>
    </row>
    <row r="18" spans="1:4">
      <c r="A18" t="s">
        <v>73</v>
      </c>
      <c r="B18">
        <f>_xlfn.XLOOKUP(A18, Sheet1!B:B, Sheet1!C:C)</f>
        <v>85</v>
      </c>
      <c r="C18">
        <f>_xlfn.XLOOKUP(A18, Sheet1!B:B, Sheet1!D:D)</f>
        <v>0.2</v>
      </c>
      <c r="D18">
        <f>_xlfn.XLOOKUP(A18, Sheet1!B:B, Sheet1!E:E)</f>
        <v>0.05</v>
      </c>
    </row>
    <row r="19" spans="1:4">
      <c r="A19" t="s">
        <v>74</v>
      </c>
      <c r="B19">
        <f>_xlfn.XLOOKUP(A19, Sheet1!B:B, Sheet1!C:C)</f>
        <v>89</v>
      </c>
      <c r="C19">
        <f>_xlfn.XLOOKUP(A19, Sheet1!B:B, Sheet1!D:D)</f>
        <v>0.2</v>
      </c>
      <c r="D19">
        <f>_xlfn.XLOOKUP(A19, Sheet1!B:B, Sheet1!E:E)</f>
        <v>0</v>
      </c>
    </row>
    <row r="20" spans="1:4">
      <c r="A20" t="s">
        <v>72</v>
      </c>
      <c r="B20">
        <f>_xlfn.XLOOKUP(A20, Sheet1!B:B, Sheet1!C:C)</f>
        <v>78</v>
      </c>
      <c r="C20">
        <f>_xlfn.XLOOKUP(A20, Sheet1!B:B, Sheet1!D:D)</f>
        <v>0.2</v>
      </c>
      <c r="D20">
        <f>_xlfn.XLOOKUP(A20, Sheet1!B:B, Sheet1!E:E)</f>
        <v>0.15</v>
      </c>
    </row>
    <row r="21" spans="1:4">
      <c r="A21" t="s">
        <v>58</v>
      </c>
      <c r="B21">
        <f>_xlfn.XLOOKUP(A21, Sheet1!B:B, Sheet1!C:C)</f>
        <v>84</v>
      </c>
      <c r="C21">
        <f>_xlfn.XLOOKUP(A21, Sheet1!B:B, Sheet1!D:D)</f>
        <v>0.2</v>
      </c>
      <c r="D21">
        <f>_xlfn.XLOOKUP(A21, Sheet1!B:B, Sheet1!E:E)</f>
        <v>0</v>
      </c>
    </row>
    <row r="22" spans="1:4">
      <c r="A22" t="s">
        <v>63</v>
      </c>
      <c r="B22">
        <f>_xlfn.XLOOKUP(A22, Sheet1!B:B, Sheet1!C:C)</f>
        <v>79</v>
      </c>
      <c r="C22">
        <f>_xlfn.XLOOKUP(A22, Sheet1!B:B, Sheet1!D:D)</f>
        <v>0.2</v>
      </c>
      <c r="D22">
        <f>_xlfn.XLOOKUP(A22, Sheet1!B:B, Sheet1!E:E)</f>
        <v>0.05</v>
      </c>
    </row>
    <row r="23" spans="1:4">
      <c r="A23" t="s">
        <v>64</v>
      </c>
      <c r="B23">
        <f>_xlfn.XLOOKUP(A23, Sheet1!B:B, Sheet1!C:C)</f>
        <v>84</v>
      </c>
      <c r="C23">
        <f>_xlfn.XLOOKUP(A23, Sheet1!B:B, Sheet1!D:D)</f>
        <v>0.2</v>
      </c>
      <c r="D23">
        <f>_xlfn.XLOOKUP(A23, Sheet1!B:B, Sheet1!E:E)</f>
        <v>0</v>
      </c>
    </row>
    <row r="24" spans="1:4">
      <c r="A24" t="s">
        <v>62</v>
      </c>
      <c r="B24">
        <f>_xlfn.XLOOKUP(A24, Sheet1!B:B, Sheet1!C:C)</f>
        <v>69</v>
      </c>
      <c r="C24">
        <f>_xlfn.XLOOKUP(A24, Sheet1!B:B, Sheet1!D:D)</f>
        <v>0.2</v>
      </c>
      <c r="D24">
        <f>_xlfn.XLOOKUP(A24, Sheet1!B:B, Sheet1!E:E)</f>
        <v>0.15</v>
      </c>
    </row>
    <row r="25" spans="1:4">
      <c r="A25" t="s">
        <v>78</v>
      </c>
      <c r="B25">
        <f>_xlfn.XLOOKUP(A25, Sheet1!B:B, Sheet1!C:C)</f>
        <v>93</v>
      </c>
      <c r="C25">
        <f>_xlfn.XLOOKUP(A25, Sheet1!B:B, Sheet1!D:D)</f>
        <v>0.2</v>
      </c>
      <c r="D25">
        <f>_xlfn.XLOOKUP(A25, Sheet1!B:B, Sheet1!E:E)</f>
        <v>0</v>
      </c>
    </row>
    <row r="26" spans="1:4">
      <c r="A26" t="s">
        <v>84</v>
      </c>
      <c r="B26">
        <f>_xlfn.XLOOKUP(A26, Sheet1!B:B, Sheet1!C:C)</f>
        <v>91</v>
      </c>
      <c r="C26">
        <f>_xlfn.XLOOKUP(A26, Sheet1!B:B, Sheet1!D:D)</f>
        <v>0.2</v>
      </c>
      <c r="D26">
        <f>_xlfn.XLOOKUP(A26, Sheet1!B:B, Sheet1!E:E)</f>
        <v>0.05</v>
      </c>
    </row>
    <row r="27" spans="1:4">
      <c r="A27" t="s">
        <v>85</v>
      </c>
      <c r="B27">
        <f>_xlfn.XLOOKUP(A27, Sheet1!B:B, Sheet1!C:C)</f>
        <v>93</v>
      </c>
      <c r="C27">
        <f>_xlfn.XLOOKUP(A27, Sheet1!B:B, Sheet1!D:D)</f>
        <v>0.2</v>
      </c>
      <c r="D27">
        <f>_xlfn.XLOOKUP(A27, Sheet1!B:B, Sheet1!E:E)</f>
        <v>0</v>
      </c>
    </row>
    <row r="28" spans="1:4">
      <c r="A28" t="s">
        <v>83</v>
      </c>
      <c r="B28">
        <f>_xlfn.XLOOKUP(A28, Sheet1!B:B, Sheet1!C:C)</f>
        <v>88</v>
      </c>
      <c r="C28">
        <f>_xlfn.XLOOKUP(A28, Sheet1!B:B, Sheet1!D:D)</f>
        <v>0.2</v>
      </c>
      <c r="D28">
        <f>_xlfn.XLOOKUP(A28, Sheet1!B:B, Sheet1!E:E)</f>
        <v>0.15</v>
      </c>
    </row>
    <row r="29" spans="1:4">
      <c r="A29" t="s">
        <v>92</v>
      </c>
      <c r="B29">
        <f>_xlfn.XLOOKUP(A29, Sheet1!B:B, Sheet1!C:C)</f>
        <v>98</v>
      </c>
      <c r="C29">
        <f>_xlfn.XLOOKUP(A29, Sheet1!B:B, Sheet1!D:D)</f>
        <v>0.2</v>
      </c>
      <c r="D29">
        <f>_xlfn.XLOOKUP(A29, Sheet1!B:B, Sheet1!E:E)</f>
        <v>0</v>
      </c>
    </row>
    <row r="30" spans="1:4">
      <c r="A30" t="s">
        <v>99</v>
      </c>
      <c r="B30">
        <f>_xlfn.XLOOKUP(A30, Sheet1!B:B, Sheet1!C:C)</f>
        <v>98</v>
      </c>
      <c r="C30">
        <f>_xlfn.XLOOKUP(A30, Sheet1!B:B, Sheet1!D:D)</f>
        <v>0.2</v>
      </c>
      <c r="D30">
        <f>_xlfn.XLOOKUP(A30, Sheet1!B:B, Sheet1!E:E)</f>
        <v>0.05</v>
      </c>
    </row>
    <row r="31" spans="1:4">
      <c r="A31" t="s">
        <v>100</v>
      </c>
      <c r="B31">
        <f>_xlfn.XLOOKUP(A31, Sheet1!B:B, Sheet1!C:C)</f>
        <v>98</v>
      </c>
      <c r="C31">
        <f>_xlfn.XLOOKUP(A31, Sheet1!B:B, Sheet1!D:D)</f>
        <v>0.2</v>
      </c>
      <c r="D31">
        <f>_xlfn.XLOOKUP(A31, Sheet1!B:B, Sheet1!E:E)</f>
        <v>0</v>
      </c>
    </row>
    <row r="32" spans="1:4">
      <c r="A32" t="s">
        <v>98</v>
      </c>
      <c r="B32">
        <f>_xlfn.XLOOKUP(A32, Sheet1!B:B, Sheet1!C:C)</f>
        <v>98</v>
      </c>
      <c r="C32">
        <f>_xlfn.XLOOKUP(A32, Sheet1!B:B, Sheet1!D:D)</f>
        <v>0.2</v>
      </c>
      <c r="D32">
        <f>_xlfn.XLOOKUP(A32, Sheet1!B:B, Sheet1!E:E)</f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Zhivar</cp:lastModifiedBy>
  <dcterms:modified xsi:type="dcterms:W3CDTF">2026-10-08T18:03:52Z</dcterms:modified>
</cp:coreProperties>
</file>